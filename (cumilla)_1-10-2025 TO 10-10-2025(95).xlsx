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0-2025 to 31-10-2025\1-10-2025 TO 10-10-2025\"/>
    </mc:Choice>
  </mc:AlternateContent>
  <xr:revisionPtr revIDLastSave="0" documentId="13_ncr:1_{89A2F9EA-5DE8-47DE-BA86-F9993A2B8E78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Goods Delivery Voucher" sheetId="19" r:id="rId4"/>
    <sheet name="Conveyance Voucher" sheetId="18" r:id="rId5"/>
    <sheet name="4. Goods Sending Expense" sheetId="5" r:id="rId6"/>
    <sheet name="3. B2B-Non Power" sheetId="4" state="hidden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6">'3. B2B-Non Power'!$3:$3</definedName>
    <definedName name="_xlnm.Print_Titles" localSheetId="5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4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L22" i="3"/>
  <c r="L23" i="3"/>
  <c r="L14" i="3" l="1"/>
  <c r="L15" i="3"/>
  <c r="L16" i="3"/>
  <c r="L17" i="3"/>
  <c r="L18" i="3"/>
  <c r="L19" i="3"/>
  <c r="L20" i="3"/>
  <c r="L21" i="3"/>
  <c r="E4" i="3"/>
  <c r="L6" i="3" l="1"/>
  <c r="L7" i="3"/>
  <c r="L8" i="3"/>
  <c r="L9" i="3"/>
  <c r="L10" i="3"/>
  <c r="L11" i="3"/>
  <c r="L12" i="3"/>
  <c r="L13" i="3"/>
  <c r="L5" i="3" l="1"/>
  <c r="H4" i="6" l="1"/>
  <c r="F4" i="6"/>
  <c r="G95" i="18"/>
  <c r="G79" i="18"/>
  <c r="D3" i="7"/>
  <c r="L5" i="20"/>
  <c r="G64" i="18"/>
  <c r="E5" i="20"/>
  <c r="G9" i="18"/>
  <c r="G37" i="18"/>
  <c r="H4" i="3"/>
  <c r="F4" i="3"/>
  <c r="D4" i="3"/>
  <c r="J4" i="3" l="1"/>
  <c r="L44" i="3"/>
  <c r="L45" i="3"/>
  <c r="L46" i="3"/>
  <c r="L47" i="3"/>
  <c r="L48" i="3"/>
  <c r="L49" i="3"/>
  <c r="L50" i="3"/>
  <c r="L51" i="3"/>
  <c r="L52" i="3"/>
  <c r="G22" i="18"/>
  <c r="G14" i="19"/>
  <c r="E17" i="20"/>
  <c r="J4" i="6"/>
  <c r="E4" i="6"/>
  <c r="D4" i="6"/>
  <c r="A7" i="19"/>
  <c r="A8" i="19" s="1"/>
  <c r="A9" i="19" s="1"/>
  <c r="A10" i="19" s="1"/>
  <c r="A11" i="19" s="1"/>
  <c r="A12" i="19" s="1"/>
  <c r="G51" i="18" l="1"/>
  <c r="O7" i="18" l="1"/>
  <c r="E2" i="10" l="1"/>
  <c r="C13" i="1" s="1"/>
  <c r="O34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C18" i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L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<sst xmlns="http://schemas.openxmlformats.org/spreadsheetml/2006/main" count="794" uniqueCount="225">
  <si>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</si>
  <si>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</si>
  <si>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</si>
  <si>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</si>
  <si>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</si>
  <si>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</si>
  <si>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</si>
  <si>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</si>
  <si>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</si>
  <si>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</si>
  <si>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</si>
  <si>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</si>
  <si>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</si>
  <si>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</si>
  <si>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</si>
  <si>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</si>
  <si>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</si>
  <si>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</si>
  <si>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</si>
  <si>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</si>
  <si>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</si>
  <si>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</si>
  <si>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</si>
  <si>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</si>
  <si>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</si>
  <si>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</si>
  <si>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</si>
  <si>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</si>
  <si>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</si>
  <si>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</si>
  <si>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</si>
  <si>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</si>
  <si>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</si>
  <si>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</si>
  <si>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</si>
  <si>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</si>
  <si>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</si>
  <si>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</si>
  <si>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</si>
  <si>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</si>
  <si>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</si>
  <si>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</si>
  <si>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</si>
  <si>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</si>
  <si>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</si>
  <si>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</si>
  <si>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</si>
  <si>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</si>
  <si>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</si>
  <si>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</si>
  <si>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</si>
  <si>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</si>
  <si>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</si>
  <si>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</si>
  <si>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</si>
  <si>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</si>
  <si>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</si>
  <si>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</si>
  <si>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</si>
  <si>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</si>
  <si>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</si>
  <si>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</si>
  <si>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</si>
  <si>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</si>
  <si>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</si>
  <si>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</si>
  <si>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</si>
  <si>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</si>
  <si>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</si>
  <si>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</si>
  <si>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</si>
  <si>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</si>
  <si>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</si>
  <si>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</si>
  <si>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</si>
  <si>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</si>
  <si>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</si>
  <si>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</si>
  <si>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</si>
  <si>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</si>
  <si>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</si>
  <si>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</si>
  <si>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</si>
  <si>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</si>
  <si>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</si>
  <si>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</si>
  <si>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</si>
  <si>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</si>
  <si>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</si>
  <si>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</si>
  <si>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</si>
  <si>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</si>
  <si>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</si>
  <si>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</si>
  <si>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</si>
  <si>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</si>
  <si>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</si>
  <si>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</si>
  <si>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</si>
  <si>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</si>
  <si>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</si>
  <si>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</si>
  <si>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</si>
  <si>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</si>
  <si>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</si>
  <si>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</si>
  <si>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</si>
  <si>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</si>
  <si>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</si>
  <si>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</si>
  <si>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</si>
  <si>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</si>
  <si>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</si>
  <si>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</si>
  <si>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</si>
  <si>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</si>
  <si>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</si>
  <si>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</si>
  <si>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</si>
  <si>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</si>
  <si>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</si>
  <si>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</si>
  <si>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</si>
  <si>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</si>
  <si>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</si>
  <si>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</si>
  <si>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</si>
  <si>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</si>
  <si>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</si>
  <si>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</si>
  <si>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</si>
  <si>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</si>
  <si>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</si>
  <si>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</si>
  <si>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</si>
  <si>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</si>
  <si>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</si>
  <si>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</si>
  <si>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</si>
  <si>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</si>
  <si>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</si>
  <si>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</si>
  <si>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</si>
  <si>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</si>
  <si>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</si>
  <si>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</si>
  <si>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</si>
  <si>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</si>
  <si>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</si>
  <si>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</si>
  <si>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</si>
  <si>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</si>
  <si>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</si>
  <si>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</si>
  <si>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</si>
  <si>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</si>
  <si>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</si>
  <si>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</si>
  <si>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</si>
  <si>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</si>
  <si>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</si>
  <si>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</si>
  <si>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</si>
  <si>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</si>
  <si>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Goods Sending</t>
  </si>
  <si>
    <t xml:space="preserve">092965	</t>
  </si>
  <si>
    <t xml:space="preserve">M/S MA MOTORS	</t>
  </si>
  <si>
    <t xml:space="preserve">092966	</t>
  </si>
  <si>
    <t>shah alam &amp; tanbir</t>
  </si>
  <si>
    <t>tamin</t>
  </si>
  <si>
    <t>labour bill</t>
  </si>
  <si>
    <t>1.10.2025- 10.10.2025</t>
  </si>
  <si>
    <t>Bill No: Cum/95/October'2025</t>
  </si>
  <si>
    <t>Month:  October-2025</t>
  </si>
  <si>
    <t>courier,labour bill</t>
  </si>
  <si>
    <t xml:space="preserve">092956	</t>
  </si>
  <si>
    <t xml:space="preserve">Alam Brothers	</t>
  </si>
  <si>
    <t xml:space="preserve">092824	</t>
  </si>
  <si>
    <t xml:space="preserve">092917	</t>
  </si>
  <si>
    <t>M/S Shava Engineering Automobile</t>
  </si>
  <si>
    <t xml:space="preserve">092782	</t>
  </si>
  <si>
    <t xml:space="preserve">	
M A Enterprise</t>
  </si>
  <si>
    <t xml:space="preserve">092974	</t>
  </si>
  <si>
    <t>The ACME Laboratories Ltd</t>
  </si>
  <si>
    <t>shah alam &amp; tamim</t>
  </si>
  <si>
    <t>Ranpur Depot</t>
  </si>
  <si>
    <t>cumilla depot</t>
  </si>
  <si>
    <t>shah alam &amp; saiful</t>
  </si>
  <si>
    <t>sohel</t>
  </si>
  <si>
    <t xml:space="preserve">092863	</t>
  </si>
  <si>
    <t xml:space="preserve">092888	</t>
  </si>
  <si>
    <t xml:space="preserve">092933	</t>
  </si>
  <si>
    <t xml:space="preserve">092997	</t>
  </si>
  <si>
    <t>M/S Fatema Motors</t>
  </si>
  <si>
    <t xml:space="preserve">	
M/S Fatema Motors</t>
  </si>
  <si>
    <t>Jogajog Automobiles</t>
  </si>
  <si>
    <t>MOZUMDER MARKET PODDAR BAZAR BISHO ROAD</t>
  </si>
  <si>
    <t>auto/cng/mini bus</t>
  </si>
  <si>
    <t>Auto/CNG/ bus</t>
  </si>
  <si>
    <t xml:space="preserve">Sarail, Vishwa Road, B-Baria,ashuganj. b baria	</t>
  </si>
  <si>
    <t xml:space="preserve">	
Gudam quarter, Feni,Ashfak plaza, 768 main road, maijdee bazar, Noakhali,MOZUMDER MARKET PODDAR BAZAR BISHO ROAD</t>
  </si>
  <si>
    <t>TRUCK</t>
  </si>
  <si>
    <t xml:space="preserve">093057	</t>
  </si>
  <si>
    <t xml:space="preserve">093117	</t>
  </si>
  <si>
    <t xml:space="preserve">093094	</t>
  </si>
  <si>
    <t>NAIM TYRE AND LUBE HOUSE</t>
  </si>
  <si>
    <t xml:space="preserve">Nur Auto	</t>
  </si>
  <si>
    <t>Speed Up,Chandpur</t>
  </si>
  <si>
    <t xml:space="preserve">	
station road Cumilla	</t>
  </si>
  <si>
    <t>Stadium market,Sadar,Chandpur,Boggobondu road,Sadar,Chandpur,</t>
  </si>
  <si>
    <t>auto/cng</t>
  </si>
  <si>
    <t>Chatkhil bazar, Chatkhil, Noakhali</t>
  </si>
  <si>
    <t>Auto/CNG/ Bus</t>
  </si>
  <si>
    <t>shah alam &amp; sohel</t>
  </si>
  <si>
    <t>fire extinguisher refilling</t>
  </si>
  <si>
    <t xml:space="preserve">093244	</t>
  </si>
  <si>
    <t xml:space="preserve">093221	</t>
  </si>
  <si>
    <t>tamim,sohel,arif,shah alam</t>
  </si>
  <si>
    <t>station road</t>
  </si>
  <si>
    <t>shah alam &amp; sohel &amp; tamim</t>
  </si>
  <si>
    <t>10498,10499,10495,10511</t>
  </si>
  <si>
    <t>courier</t>
  </si>
  <si>
    <t>petty cash bill</t>
  </si>
  <si>
    <t>Since the helper has resigned, we have arranged a temporary helper to continue the regular work</t>
  </si>
  <si>
    <t xml:space="preserve">Nehar Haluapara Mosjid,tomsom 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</si>
</sst>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0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3" fillId="2" borderId="3" xfId="0" applyFont="1" applyFill="1" applyBorder="1" applyAlignment="1" applyProtection="1">
      <alignment wrapTex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165" fontId="24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wrapText="1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/>
      <protection locked="0"/>
    </xf>
    <xf numFmtId="0" fontId="40" fillId="2" borderId="3" xfId="0" applyFont="1" applyFill="1" applyBorder="1" applyProtection="1">
      <protection locked="0"/>
    </xf>
    <xf numFmtId="0" fontId="8" fillId="2" borderId="3" xfId="0" applyFont="1" applyFill="1" applyBorder="1" applyAlignment="1">
      <alignment horizontal="center" vertical="center" wrapText="1"/>
    </xf>
    <xf numFmtId="165" fontId="8" fillId="9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9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wrapText="1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64" fontId="2" fillId="2" borderId="13" xfId="0" applyNumberFormat="1" applyFont="1" applyFill="1" applyBorder="1" applyAlignment="1" applyProtection="1">
      <alignment horizontal="center"/>
      <protection locked="0"/>
    </xf>
    <xf numFmtId="164" fontId="2" fillId="2" borderId="18" xfId="0" applyNumberFormat="1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wrapText="1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164" fontId="11" fillId="2" borderId="21" xfId="0" applyNumberFormat="1" applyFont="1" applyFill="1" applyBorder="1" applyAlignment="1">
      <alignment horizontal="center" vertical="center"/>
    </xf>
    <xf numFmtId="164" fontId="11" fillId="2" borderId="18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27" fillId="0" borderId="22" xfId="0" applyNumberFormat="1" applyFon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5" fontId="0" fillId="0" borderId="23" xfId="0" applyNumberFormat="1" applyBorder="1" applyAlignment="1">
      <alignment horizontal="center" vertical="center" wrapText="1"/>
    </xf>
    <xf numFmtId="165" fontId="0" fillId="0" borderId="28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 wrapText="1"/>
    </xf>
    <xf numFmtId="165" fontId="0" fillId="0" borderId="30" xfId="0" applyNumberFormat="1" applyBorder="1" applyAlignment="1">
      <alignment horizontal="center" vertical="center" wrapText="1"/>
    </xf>
    <xf numFmtId="165" fontId="0" fillId="0" borderId="31" xfId="0" applyNumberFormat="1" applyBorder="1" applyAlignment="1">
      <alignment horizontal="center" vertical="center" wrapText="1"/>
    </xf>
    <xf numFmtId="165" fontId="0" fillId="0" borderId="32" xfId="0" applyNumberFormat="1" applyBorder="1" applyAlignment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B1" zoomScale="112" zoomScaleNormal="112" zoomScaleSheetLayoutView="112" workbookViewId="0">
      <selection activeCell="D41" sqref="D41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15" t="s">
        <v>0</v>
      </c>
      <c r="B1" s="316"/>
      <c r="C1" s="316"/>
      <c r="D1" s="317"/>
    </row>
    <row r="2" spans="1:4" ht="23.25" x14ac:dyDescent="0.25">
      <c r="A2" s="318" t="s">
        <v>1</v>
      </c>
      <c r="B2" s="319"/>
      <c r="C2" s="140" t="s">
        <v>2</v>
      </c>
      <c r="D2" s="223" t="s">
        <v>171</v>
      </c>
    </row>
    <row r="3" spans="1:4" ht="20.25" x14ac:dyDescent="0.25">
      <c r="A3" s="4" t="s">
        <v>3</v>
      </c>
      <c r="B3" s="7" t="s">
        <v>118</v>
      </c>
      <c r="C3" s="8" t="s">
        <v>173</v>
      </c>
      <c r="D3" s="8" t="s">
        <v>172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4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25"/>
    </row>
    <row r="6" spans="1:4" ht="20.25" x14ac:dyDescent="0.25">
      <c r="A6" s="176">
        <v>2</v>
      </c>
      <c r="B6" s="3" t="s">
        <v>8</v>
      </c>
      <c r="C6" s="177">
        <f>'2. B2C'!L4</f>
        <v>13530</v>
      </c>
      <c r="D6" s="225" t="s">
        <v>129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25"/>
    </row>
    <row r="8" spans="1:4" ht="20.25" x14ac:dyDescent="0.25">
      <c r="A8" s="176">
        <v>4</v>
      </c>
      <c r="B8" s="3" t="s">
        <v>10</v>
      </c>
      <c r="C8" s="177">
        <f>'4. Goods Sending Expense'!L4</f>
        <v>1700</v>
      </c>
      <c r="D8" s="225" t="s">
        <v>150</v>
      </c>
    </row>
    <row r="9" spans="1:4" ht="20.25" x14ac:dyDescent="0.25">
      <c r="A9" s="176">
        <v>5</v>
      </c>
      <c r="B9" s="3" t="s">
        <v>11</v>
      </c>
      <c r="C9" s="177">
        <f>'5. Goods Receiving Expense'!L4</f>
        <v>500</v>
      </c>
      <c r="D9" s="225" t="s">
        <v>150</v>
      </c>
    </row>
    <row r="10" spans="1:4" ht="20.25" x14ac:dyDescent="0.25">
      <c r="A10" s="176">
        <v>6</v>
      </c>
      <c r="B10" s="3" t="s">
        <v>12</v>
      </c>
      <c r="C10" s="177">
        <f>'6.WH-Depot Maintenance'!D3</f>
        <v>1950</v>
      </c>
      <c r="D10" s="225" t="s">
        <v>174</v>
      </c>
    </row>
    <row r="11" spans="1:4" ht="20.25" x14ac:dyDescent="0.25">
      <c r="A11" s="176">
        <v>7</v>
      </c>
      <c r="B11" s="3" t="s">
        <v>13</v>
      </c>
      <c r="C11" s="177">
        <f>'7. Utilities'!F2</f>
        <v>0</v>
      </c>
      <c r="D11" s="225"/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25"/>
    </row>
    <row r="13" spans="1:4" ht="20.25" x14ac:dyDescent="0.25">
      <c r="A13" s="176">
        <v>9</v>
      </c>
      <c r="B13" s="3" t="s">
        <v>15</v>
      </c>
      <c r="C13" s="177">
        <f>'9. Stationary'!E2</f>
        <v>0</v>
      </c>
      <c r="D13" s="225"/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25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25"/>
    </row>
    <row r="16" spans="1:4" ht="20.25" x14ac:dyDescent="0.25">
      <c r="A16" s="176">
        <v>12</v>
      </c>
      <c r="B16" s="3" t="s">
        <v>18</v>
      </c>
      <c r="C16" s="177">
        <f>'12. Entertainment'!D2</f>
        <v>0</v>
      </c>
      <c r="D16" s="225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25"/>
    </row>
    <row r="18" spans="1:7" ht="20.25" x14ac:dyDescent="0.25">
      <c r="A18" s="176">
        <v>14</v>
      </c>
      <c r="B18" s="3" t="s">
        <v>20</v>
      </c>
      <c r="C18" s="177">
        <f>'14. Conveyance'!D2</f>
        <v>300</v>
      </c>
      <c r="D18" s="225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26"/>
      <c r="G19" t="s">
        <v>127</v>
      </c>
    </row>
    <row r="20" spans="1:7" ht="20.25" x14ac:dyDescent="0.25">
      <c r="A20" s="176"/>
      <c r="B20" s="4" t="s">
        <v>23</v>
      </c>
      <c r="C20" s="177">
        <f>SUM(C5:C19)</f>
        <v>17980</v>
      </c>
      <c r="D20" s="226"/>
    </row>
    <row r="21" spans="1:7" ht="20.25" x14ac:dyDescent="0.25">
      <c r="A21" s="227"/>
      <c r="B21" s="228"/>
      <c r="C21" s="175"/>
      <c r="D21" s="229"/>
    </row>
    <row r="22" spans="1:7" ht="20.25" x14ac:dyDescent="0.25">
      <c r="A22" s="227"/>
      <c r="B22" s="230"/>
      <c r="C22" s="1" t="s">
        <v>24</v>
      </c>
      <c r="D22" s="2" t="s">
        <v>25</v>
      </c>
    </row>
    <row r="23" spans="1:7" ht="20.25" x14ac:dyDescent="0.25">
      <c r="A23" s="227"/>
      <c r="B23" s="228"/>
      <c r="C23" s="176" t="s">
        <v>26</v>
      </c>
      <c r="D23" s="231">
        <f>'1. B2B- IPP'!D4</f>
        <v>0</v>
      </c>
    </row>
    <row r="24" spans="1:7" ht="20.25" x14ac:dyDescent="0.25">
      <c r="A24" s="227"/>
      <c r="B24" s="228"/>
      <c r="C24" s="176" t="s">
        <v>8</v>
      </c>
      <c r="D24" s="231">
        <f>'2. B2C'!D4</f>
        <v>9149</v>
      </c>
    </row>
    <row r="25" spans="1:7" ht="20.25" x14ac:dyDescent="0.25">
      <c r="A25" s="227"/>
      <c r="B25" s="228"/>
      <c r="C25" s="176" t="s">
        <v>27</v>
      </c>
      <c r="D25" s="231">
        <f>'3. B2B-Non Power'!D4</f>
        <v>0</v>
      </c>
    </row>
    <row r="26" spans="1:7" ht="20.25" x14ac:dyDescent="0.25">
      <c r="A26" s="227"/>
      <c r="B26" s="228"/>
      <c r="C26" s="176" t="s">
        <v>10</v>
      </c>
      <c r="D26" s="231">
        <f>'4. Goods Sending Expense'!D4</f>
        <v>168</v>
      </c>
    </row>
    <row r="27" spans="1:7" ht="20.25" x14ac:dyDescent="0.25">
      <c r="A27" s="227"/>
      <c r="B27" s="228"/>
      <c r="C27" s="176" t="s">
        <v>28</v>
      </c>
      <c r="D27" s="231">
        <f>'5. Goods Receiving Expense'!D4</f>
        <v>5132</v>
      </c>
    </row>
    <row r="28" spans="1:7" ht="20.25" x14ac:dyDescent="0.25">
      <c r="A28" s="227"/>
      <c r="B28" s="228"/>
      <c r="C28" s="1" t="s">
        <v>29</v>
      </c>
      <c r="D28" s="232">
        <f>SUM(D23:D27)</f>
        <v>14449</v>
      </c>
    </row>
    <row r="29" spans="1:7" ht="20.25" x14ac:dyDescent="0.25">
      <c r="A29" s="227"/>
      <c r="B29" s="228"/>
      <c r="C29" s="233"/>
      <c r="D29" s="234"/>
    </row>
    <row r="30" spans="1:7" ht="20.25" x14ac:dyDescent="0.25">
      <c r="A30" s="227"/>
      <c r="B30" s="228"/>
      <c r="C30" s="233"/>
      <c r="D30" s="234"/>
    </row>
    <row r="31" spans="1:7" ht="20.25" x14ac:dyDescent="0.25">
      <c r="A31" s="227"/>
      <c r="B31" s="228"/>
      <c r="C31" s="233"/>
      <c r="D31" s="234"/>
    </row>
    <row r="32" spans="1:7" ht="20.25" x14ac:dyDescent="0.25">
      <c r="A32" s="227"/>
      <c r="B32" s="228"/>
      <c r="C32" s="233"/>
      <c r="D32" s="234"/>
    </row>
    <row r="33" spans="1:6" ht="20.25" x14ac:dyDescent="0.25">
      <c r="A33" s="227"/>
      <c r="B33" s="228"/>
      <c r="C33" s="233"/>
      <c r="D33" s="234"/>
    </row>
    <row r="34" spans="1:6" ht="20.25" x14ac:dyDescent="0.25">
      <c r="A34" s="227"/>
      <c r="B34" s="228"/>
      <c r="C34" s="6"/>
      <c r="D34" s="235"/>
    </row>
    <row r="35" spans="1:6" ht="20.25" x14ac:dyDescent="0.25">
      <c r="A35" s="227"/>
      <c r="B35" s="228"/>
      <c r="C35" s="6"/>
      <c r="D35" s="235"/>
    </row>
    <row r="36" spans="1:6" ht="20.25" x14ac:dyDescent="0.25">
      <c r="A36" s="227"/>
      <c r="B36" s="228"/>
      <c r="C36" s="6"/>
      <c r="D36" s="235"/>
    </row>
    <row r="37" spans="1:6" ht="20.25" x14ac:dyDescent="0.25">
      <c r="A37" s="236" t="s">
        <v>30</v>
      </c>
      <c r="B37" s="5" t="s">
        <v>82</v>
      </c>
      <c r="C37" s="5" t="s">
        <v>31</v>
      </c>
      <c r="D37" s="237" t="s">
        <v>132</v>
      </c>
      <c r="F37" s="6" t="s">
        <v>127</v>
      </c>
    </row>
    <row r="38" spans="1:6" ht="20.25" x14ac:dyDescent="0.25">
      <c r="A38" s="238"/>
      <c r="B38" s="6"/>
      <c r="C38" s="6"/>
      <c r="D38" s="239"/>
    </row>
    <row r="39" spans="1:6" ht="20.25" x14ac:dyDescent="0.25">
      <c r="A39" s="238"/>
      <c r="B39" s="6"/>
      <c r="C39" s="6"/>
      <c r="D39" s="239"/>
    </row>
    <row r="40" spans="1:6" ht="20.25" x14ac:dyDescent="0.25">
      <c r="A40" s="227"/>
      <c r="B40" s="228"/>
      <c r="C40" s="6"/>
      <c r="D40" s="235"/>
    </row>
    <row r="41" spans="1:6" ht="20.25" x14ac:dyDescent="0.25">
      <c r="A41" s="227"/>
      <c r="B41" s="228"/>
      <c r="C41" s="6"/>
      <c r="D41" s="235"/>
    </row>
    <row r="42" spans="1:6" ht="20.25" x14ac:dyDescent="0.25">
      <c r="A42" s="227"/>
      <c r="B42" s="228"/>
      <c r="C42" s="6"/>
      <c r="D42" s="235"/>
    </row>
    <row r="43" spans="1:6" ht="20.25" x14ac:dyDescent="0.25">
      <c r="A43" s="240"/>
      <c r="B43" s="228"/>
      <c r="C43" s="6" t="s">
        <v>142</v>
      </c>
      <c r="D43" s="235"/>
    </row>
    <row r="44" spans="1:6" ht="20.25" x14ac:dyDescent="0.25">
      <c r="A44" s="240" t="s">
        <v>133</v>
      </c>
      <c r="B44" s="241"/>
      <c r="C44" s="241" t="s">
        <v>32</v>
      </c>
      <c r="D44" s="242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20" t="s">
        <v>34</v>
      </c>
      <c r="D1" s="321"/>
      <c r="E1" s="322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23" t="s">
        <v>35</v>
      </c>
      <c r="I2" s="323"/>
      <c r="J2" s="323"/>
      <c r="K2" s="323"/>
      <c r="L2" s="323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5"/>
  <sheetViews>
    <sheetView zoomScale="75" zoomScaleNormal="75" workbookViewId="0">
      <pane xSplit="12" ySplit="4" topLeftCell="M20" activePane="bottomRight" state="frozen"/>
      <selection pane="topRight" activeCell="M1" sqref="M1"/>
      <selection pane="bottomLeft" activeCell="A5" sqref="A5"/>
      <selection pane="bottomRight" activeCell="G25" sqref="G25"/>
    </sheetView>
  </sheetViews>
  <sheetFormatPr defaultRowHeight="15" x14ac:dyDescent="0.25"/>
  <cols>
    <col min="1" max="1" width="24.42578125" style="244" customWidth="1"/>
    <col min="2" max="2" width="18.140625" style="47" customWidth="1"/>
    <col min="3" max="3" width="31.42578125" bestFit="1" customWidth="1"/>
    <col min="4" max="4" width="24" customWidth="1"/>
    <col min="5" max="5" width="19.42578125" style="165" customWidth="1"/>
    <col min="6" max="6" width="17.5703125" style="165" customWidth="1"/>
    <col min="7" max="7" width="22.5703125" style="114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44" customWidth="1"/>
  </cols>
  <sheetData>
    <row r="1" spans="1:12" s="124" customFormat="1" ht="20.25" x14ac:dyDescent="0.25">
      <c r="A1" s="326" t="s">
        <v>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</row>
    <row r="2" spans="1:12" s="124" customFormat="1" ht="20.25" x14ac:dyDescent="0.25">
      <c r="A2" s="273"/>
      <c r="B2" s="1"/>
      <c r="C2" s="274"/>
      <c r="D2" s="274"/>
      <c r="E2" s="274"/>
      <c r="F2" s="274"/>
      <c r="G2" s="326" t="s">
        <v>35</v>
      </c>
      <c r="H2" s="326"/>
      <c r="I2" s="326"/>
      <c r="J2" s="326"/>
      <c r="K2" s="326"/>
      <c r="L2" s="7"/>
    </row>
    <row r="3" spans="1:12" s="124" customFormat="1" ht="40.5" x14ac:dyDescent="0.25">
      <c r="A3" s="275" t="s">
        <v>36</v>
      </c>
      <c r="B3" s="224" t="s">
        <v>37</v>
      </c>
      <c r="C3" s="224" t="s">
        <v>38</v>
      </c>
      <c r="D3" s="224" t="s">
        <v>39</v>
      </c>
      <c r="E3" s="224" t="s">
        <v>48</v>
      </c>
      <c r="F3" s="224" t="s">
        <v>49</v>
      </c>
      <c r="G3" s="224" t="s">
        <v>115</v>
      </c>
      <c r="H3" s="224" t="s">
        <v>50</v>
      </c>
      <c r="I3" s="224" t="s">
        <v>45</v>
      </c>
      <c r="J3" s="224" t="s">
        <v>46</v>
      </c>
      <c r="K3" s="224" t="s">
        <v>47</v>
      </c>
      <c r="L3" s="8" t="s">
        <v>23</v>
      </c>
    </row>
    <row r="4" spans="1:12" s="124" customFormat="1" ht="20.25" x14ac:dyDescent="0.25">
      <c r="A4" s="276"/>
      <c r="B4" s="277"/>
      <c r="C4" s="277"/>
      <c r="D4" s="277">
        <f>SUM(D5:D97)</f>
        <v>9149</v>
      </c>
      <c r="E4" s="277">
        <f>SUM(E6:E20)</f>
        <v>1000</v>
      </c>
      <c r="F4" s="277">
        <f>SUM(F5:F97)</f>
        <v>11530</v>
      </c>
      <c r="G4" s="277"/>
      <c r="H4" s="277">
        <f>SUM(H5:H97)</f>
        <v>850</v>
      </c>
      <c r="I4" s="277">
        <f>SUM(I6:I11)</f>
        <v>0</v>
      </c>
      <c r="J4" s="277">
        <f>SUM(J6:J110)</f>
        <v>150</v>
      </c>
      <c r="K4" s="277">
        <f>SUM(K6:K11)</f>
        <v>0</v>
      </c>
      <c r="L4" s="278">
        <f>SUM(E4,F4,H4,I4,J4,)</f>
        <v>13530</v>
      </c>
    </row>
    <row r="5" spans="1:12" s="285" customFormat="1" ht="34.5" customHeight="1" x14ac:dyDescent="0.35">
      <c r="A5" s="279">
        <v>45934</v>
      </c>
      <c r="B5" s="303" t="s">
        <v>165</v>
      </c>
      <c r="C5" s="304" t="s">
        <v>166</v>
      </c>
      <c r="D5" s="304">
        <v>156</v>
      </c>
      <c r="E5" s="283"/>
      <c r="F5" s="328">
        <v>330</v>
      </c>
      <c r="G5" s="327" t="s">
        <v>168</v>
      </c>
      <c r="H5" s="328">
        <v>40</v>
      </c>
      <c r="I5" s="283"/>
      <c r="J5" s="283"/>
      <c r="K5" s="283"/>
      <c r="L5" s="280">
        <f>SUM(F5:H5)</f>
        <v>370</v>
      </c>
    </row>
    <row r="6" spans="1:12" s="286" customFormat="1" ht="37.5" customHeight="1" x14ac:dyDescent="0.35">
      <c r="A6" s="279">
        <v>45934</v>
      </c>
      <c r="B6" s="303" t="s">
        <v>167</v>
      </c>
      <c r="C6" s="304" t="s">
        <v>166</v>
      </c>
      <c r="D6" s="303">
        <v>108</v>
      </c>
      <c r="E6" s="280"/>
      <c r="F6" s="328"/>
      <c r="G6" s="327"/>
      <c r="H6" s="328"/>
      <c r="I6" s="7"/>
      <c r="J6" s="7"/>
      <c r="K6" s="7"/>
      <c r="L6" s="280">
        <f t="shared" ref="L6:L23" si="0">SUM(F6:H6)</f>
        <v>0</v>
      </c>
    </row>
    <row r="7" spans="1:12" s="286" customFormat="1" ht="40.5" customHeight="1" x14ac:dyDescent="0.35">
      <c r="A7" s="279">
        <v>45934</v>
      </c>
      <c r="B7" s="303" t="s">
        <v>175</v>
      </c>
      <c r="C7" s="304" t="s">
        <v>176</v>
      </c>
      <c r="D7" s="303">
        <v>448</v>
      </c>
      <c r="E7" s="324">
        <v>1000</v>
      </c>
      <c r="F7" s="283"/>
      <c r="G7" s="298"/>
      <c r="H7" s="283"/>
      <c r="I7" s="7"/>
      <c r="J7" s="7"/>
      <c r="K7" s="7"/>
      <c r="L7" s="280">
        <f t="shared" si="0"/>
        <v>0</v>
      </c>
    </row>
    <row r="8" spans="1:12" s="302" customFormat="1" ht="46.5" customHeight="1" x14ac:dyDescent="0.35">
      <c r="A8" s="299">
        <v>45934</v>
      </c>
      <c r="B8" s="305" t="s">
        <v>177</v>
      </c>
      <c r="C8" s="306" t="s">
        <v>176</v>
      </c>
      <c r="D8" s="305">
        <v>4598</v>
      </c>
      <c r="E8" s="324"/>
      <c r="F8" s="300"/>
      <c r="G8" s="300"/>
      <c r="H8" s="301"/>
      <c r="I8" s="301"/>
      <c r="J8" s="301"/>
      <c r="K8" s="301"/>
      <c r="L8" s="300">
        <f t="shared" si="0"/>
        <v>0</v>
      </c>
    </row>
    <row r="9" spans="1:12" s="286" customFormat="1" ht="51.75" customHeight="1" x14ac:dyDescent="0.35">
      <c r="A9" s="279">
        <v>45935</v>
      </c>
      <c r="B9" s="303" t="s">
        <v>178</v>
      </c>
      <c r="C9" s="304" t="s">
        <v>179</v>
      </c>
      <c r="D9" s="304">
        <v>73</v>
      </c>
      <c r="E9" s="280"/>
      <c r="F9" s="324">
        <v>1610</v>
      </c>
      <c r="G9" s="324" t="s">
        <v>184</v>
      </c>
      <c r="H9" s="325">
        <v>530</v>
      </c>
      <c r="I9" s="7"/>
      <c r="J9" s="7"/>
      <c r="K9" s="7"/>
      <c r="L9" s="280">
        <f t="shared" si="0"/>
        <v>2140</v>
      </c>
    </row>
    <row r="10" spans="1:12" s="286" customFormat="1" ht="49.5" customHeight="1" x14ac:dyDescent="0.35">
      <c r="A10" s="279">
        <v>45935</v>
      </c>
      <c r="B10" s="303" t="s">
        <v>180</v>
      </c>
      <c r="C10" s="304" t="s">
        <v>181</v>
      </c>
      <c r="D10" s="303">
        <v>160</v>
      </c>
      <c r="E10" s="280"/>
      <c r="F10" s="324"/>
      <c r="G10" s="324"/>
      <c r="H10" s="325"/>
      <c r="I10" s="7"/>
      <c r="J10" s="7"/>
      <c r="K10" s="7"/>
      <c r="L10" s="280">
        <f t="shared" si="0"/>
        <v>0</v>
      </c>
    </row>
    <row r="11" spans="1:12" s="286" customFormat="1" ht="57.75" customHeight="1" x14ac:dyDescent="0.35">
      <c r="A11" s="279">
        <v>45935</v>
      </c>
      <c r="B11" s="303" t="s">
        <v>182</v>
      </c>
      <c r="C11" s="304" t="s">
        <v>183</v>
      </c>
      <c r="D11" s="303">
        <v>30</v>
      </c>
      <c r="E11" s="280"/>
      <c r="F11" s="280"/>
      <c r="G11" s="280" t="s">
        <v>188</v>
      </c>
      <c r="H11" s="7"/>
      <c r="I11" s="7"/>
      <c r="J11" s="7"/>
      <c r="K11" s="7"/>
      <c r="L11" s="280">
        <f t="shared" si="0"/>
        <v>0</v>
      </c>
    </row>
    <row r="12" spans="1:12" s="286" customFormat="1" ht="39.75" customHeight="1" x14ac:dyDescent="0.35">
      <c r="A12" s="279">
        <v>45936</v>
      </c>
      <c r="B12" s="305" t="s">
        <v>189</v>
      </c>
      <c r="C12" s="305" t="s">
        <v>193</v>
      </c>
      <c r="D12" s="305">
        <v>310</v>
      </c>
      <c r="E12" s="324"/>
      <c r="F12" s="324">
        <v>6000</v>
      </c>
      <c r="G12" s="324" t="s">
        <v>168</v>
      </c>
      <c r="H12" s="325"/>
      <c r="I12" s="7"/>
      <c r="J12" s="325">
        <v>150</v>
      </c>
      <c r="K12" s="7"/>
      <c r="L12" s="280">
        <f t="shared" si="0"/>
        <v>6000</v>
      </c>
    </row>
    <row r="13" spans="1:12" s="286" customFormat="1" ht="27.75" customHeight="1" x14ac:dyDescent="0.35">
      <c r="A13" s="279">
        <v>45936</v>
      </c>
      <c r="B13" s="303" t="s">
        <v>190</v>
      </c>
      <c r="C13" s="304" t="s">
        <v>194</v>
      </c>
      <c r="D13" s="303">
        <v>204</v>
      </c>
      <c r="E13" s="324"/>
      <c r="F13" s="324"/>
      <c r="G13" s="324"/>
      <c r="H13" s="325"/>
      <c r="I13" s="7"/>
      <c r="J13" s="325"/>
      <c r="K13" s="7"/>
      <c r="L13" s="280">
        <f t="shared" si="0"/>
        <v>0</v>
      </c>
    </row>
    <row r="14" spans="1:12" s="286" customFormat="1" ht="32.25" customHeight="1" x14ac:dyDescent="0.35">
      <c r="A14" s="279">
        <v>45936</v>
      </c>
      <c r="B14" s="303" t="s">
        <v>191</v>
      </c>
      <c r="C14" s="303" t="s">
        <v>195</v>
      </c>
      <c r="D14" s="303">
        <v>1928</v>
      </c>
      <c r="E14" s="324"/>
      <c r="F14" s="324"/>
      <c r="G14" s="324"/>
      <c r="H14" s="325"/>
      <c r="I14" s="7"/>
      <c r="J14" s="325"/>
      <c r="K14" s="7"/>
      <c r="L14" s="280">
        <f t="shared" si="0"/>
        <v>0</v>
      </c>
    </row>
    <row r="15" spans="1:12" s="286" customFormat="1" ht="36" customHeight="1" x14ac:dyDescent="0.35">
      <c r="A15" s="279">
        <v>45936</v>
      </c>
      <c r="B15" s="305" t="s">
        <v>192</v>
      </c>
      <c r="C15" s="305" t="s">
        <v>166</v>
      </c>
      <c r="D15" s="305">
        <v>96</v>
      </c>
      <c r="E15" s="324"/>
      <c r="F15" s="324"/>
      <c r="G15" s="324"/>
      <c r="H15" s="325"/>
      <c r="I15" s="7"/>
      <c r="J15" s="325"/>
      <c r="K15" s="7"/>
      <c r="L15" s="280">
        <f t="shared" si="0"/>
        <v>0</v>
      </c>
    </row>
    <row r="16" spans="1:12" s="286" customFormat="1" ht="56.25" customHeight="1" x14ac:dyDescent="0.35">
      <c r="A16" s="279">
        <v>45937</v>
      </c>
      <c r="B16" s="303" t="s">
        <v>202</v>
      </c>
      <c r="C16" s="304" t="s">
        <v>205</v>
      </c>
      <c r="D16" s="303">
        <v>27</v>
      </c>
      <c r="E16" s="280"/>
      <c r="F16" s="280">
        <v>70</v>
      </c>
      <c r="G16" s="280" t="s">
        <v>126</v>
      </c>
      <c r="H16" s="7">
        <v>40</v>
      </c>
      <c r="I16" s="7"/>
      <c r="J16" s="7"/>
      <c r="K16" s="7"/>
      <c r="L16" s="280">
        <f t="shared" si="0"/>
        <v>110</v>
      </c>
    </row>
    <row r="17" spans="1:12" s="286" customFormat="1" ht="27.75" customHeight="1" x14ac:dyDescent="0.35">
      <c r="A17" s="279">
        <v>45937</v>
      </c>
      <c r="B17" s="303">
        <v>92910</v>
      </c>
      <c r="C17" s="304" t="s">
        <v>206</v>
      </c>
      <c r="D17" s="304">
        <v>13</v>
      </c>
      <c r="E17" s="280"/>
      <c r="F17" s="280">
        <v>120</v>
      </c>
      <c r="G17" s="280" t="s">
        <v>126</v>
      </c>
      <c r="H17" s="7">
        <v>200</v>
      </c>
      <c r="I17" s="7"/>
      <c r="J17" s="7"/>
      <c r="K17" s="7"/>
      <c r="L17" s="280">
        <f t="shared" si="0"/>
        <v>320</v>
      </c>
    </row>
    <row r="18" spans="1:12" s="286" customFormat="1" ht="40.5" customHeight="1" x14ac:dyDescent="0.35">
      <c r="A18" s="279">
        <v>45938</v>
      </c>
      <c r="B18" s="303" t="s">
        <v>203</v>
      </c>
      <c r="C18" s="304" t="s">
        <v>207</v>
      </c>
      <c r="D18" s="303">
        <v>27</v>
      </c>
      <c r="E18" s="280"/>
      <c r="F18" s="324">
        <v>3000</v>
      </c>
      <c r="G18" s="324" t="s">
        <v>168</v>
      </c>
      <c r="H18" s="325"/>
      <c r="I18" s="7"/>
      <c r="J18" s="7"/>
      <c r="K18" s="7"/>
      <c r="L18" s="280">
        <f t="shared" si="0"/>
        <v>3000</v>
      </c>
    </row>
    <row r="19" spans="1:12" s="286" customFormat="1" ht="42" customHeight="1" x14ac:dyDescent="0.35">
      <c r="A19" s="279">
        <v>45938</v>
      </c>
      <c r="B19" s="303">
        <v>93114</v>
      </c>
      <c r="C19" s="308" t="s">
        <v>176</v>
      </c>
      <c r="D19" s="309">
        <v>56</v>
      </c>
      <c r="E19" s="280"/>
      <c r="F19" s="324"/>
      <c r="G19" s="324"/>
      <c r="H19" s="325"/>
      <c r="I19" s="7"/>
      <c r="J19" s="7"/>
      <c r="K19" s="7"/>
      <c r="L19" s="280">
        <f t="shared" si="0"/>
        <v>0</v>
      </c>
    </row>
    <row r="20" spans="1:12" s="286" customFormat="1" ht="46.5" customHeight="1" x14ac:dyDescent="0.35">
      <c r="A20" s="279">
        <v>45938</v>
      </c>
      <c r="B20" s="303">
        <v>93106</v>
      </c>
      <c r="C20" s="307" t="s">
        <v>176</v>
      </c>
      <c r="D20" s="309">
        <v>210</v>
      </c>
      <c r="E20" s="280"/>
      <c r="F20" s="324"/>
      <c r="G20" s="324"/>
      <c r="H20" s="325"/>
      <c r="I20" s="7"/>
      <c r="J20" s="7"/>
      <c r="K20" s="7"/>
      <c r="L20" s="280">
        <f t="shared" si="0"/>
        <v>0</v>
      </c>
    </row>
    <row r="21" spans="1:12" s="286" customFormat="1" ht="44.25" customHeight="1" x14ac:dyDescent="0.35">
      <c r="A21" s="279">
        <v>45938</v>
      </c>
      <c r="B21" s="305" t="s">
        <v>204</v>
      </c>
      <c r="C21" s="305" t="s">
        <v>176</v>
      </c>
      <c r="D21" s="305">
        <v>300</v>
      </c>
      <c r="E21" s="280"/>
      <c r="F21" s="324"/>
      <c r="G21" s="324"/>
      <c r="H21" s="325"/>
      <c r="I21" s="290"/>
      <c r="J21" s="7"/>
      <c r="K21" s="291"/>
      <c r="L21" s="280">
        <f t="shared" si="0"/>
        <v>0</v>
      </c>
    </row>
    <row r="22" spans="1:12" s="286" customFormat="1" ht="33" customHeight="1" x14ac:dyDescent="0.35">
      <c r="A22" s="279">
        <v>45939</v>
      </c>
      <c r="B22" s="303" t="s">
        <v>215</v>
      </c>
      <c r="C22" s="304" t="s">
        <v>166</v>
      </c>
      <c r="D22" s="289">
        <v>210</v>
      </c>
      <c r="E22" s="280"/>
      <c r="F22" s="324">
        <v>400</v>
      </c>
      <c r="G22" s="324" t="s">
        <v>213</v>
      </c>
      <c r="H22" s="325">
        <v>40</v>
      </c>
      <c r="I22" s="291"/>
      <c r="J22" s="7"/>
      <c r="K22" s="291"/>
      <c r="L22" s="280">
        <f t="shared" si="0"/>
        <v>440</v>
      </c>
    </row>
    <row r="23" spans="1:12" s="286" customFormat="1" ht="33.75" customHeight="1" x14ac:dyDescent="0.35">
      <c r="A23" s="279">
        <v>45939</v>
      </c>
      <c r="B23" s="303" t="s">
        <v>216</v>
      </c>
      <c r="C23" s="304" t="s">
        <v>166</v>
      </c>
      <c r="D23" s="289">
        <v>195</v>
      </c>
      <c r="E23" s="280"/>
      <c r="F23" s="324"/>
      <c r="G23" s="324"/>
      <c r="H23" s="325"/>
      <c r="I23" s="291"/>
      <c r="J23" s="7"/>
      <c r="K23" s="291"/>
      <c r="L23" s="280">
        <f t="shared" si="0"/>
        <v>0</v>
      </c>
    </row>
    <row r="24" spans="1:12" s="286" customFormat="1" ht="51.75" customHeight="1" x14ac:dyDescent="0.35">
      <c r="A24" s="279"/>
      <c r="B24" s="289"/>
      <c r="C24" s="288"/>
      <c r="D24" s="289"/>
      <c r="E24" s="280"/>
      <c r="F24" s="280"/>
      <c r="G24" s="280"/>
      <c r="H24" s="7"/>
      <c r="I24" s="291"/>
      <c r="J24" s="291"/>
      <c r="K24" s="291"/>
      <c r="L24" s="280"/>
    </row>
    <row r="25" spans="1:12" s="286" customFormat="1" ht="53.25" customHeight="1" x14ac:dyDescent="0.35">
      <c r="A25" s="279"/>
      <c r="B25" s="289"/>
      <c r="C25" s="288"/>
      <c r="D25" s="289"/>
      <c r="E25" s="280"/>
      <c r="F25" s="280"/>
      <c r="G25" s="280"/>
      <c r="H25" s="7"/>
      <c r="I25" s="291"/>
      <c r="J25" s="291"/>
      <c r="K25" s="291"/>
      <c r="L25" s="280"/>
    </row>
    <row r="26" spans="1:12" s="286" customFormat="1" ht="55.5" customHeight="1" x14ac:dyDescent="0.3">
      <c r="A26" s="292"/>
      <c r="B26" s="293"/>
      <c r="C26" s="294"/>
      <c r="D26" s="293"/>
      <c r="E26" s="295"/>
      <c r="F26" s="295"/>
      <c r="G26" s="295"/>
      <c r="H26" s="296"/>
      <c r="I26" s="297"/>
      <c r="J26" s="297"/>
      <c r="K26" s="297"/>
      <c r="L26" s="295"/>
    </row>
    <row r="27" spans="1:12" s="286" customFormat="1" ht="51.75" customHeight="1" x14ac:dyDescent="0.3">
      <c r="A27" s="292"/>
      <c r="B27" s="293"/>
      <c r="C27" s="294"/>
      <c r="D27" s="293"/>
      <c r="E27" s="295"/>
      <c r="F27" s="295"/>
      <c r="G27" s="295"/>
      <c r="H27" s="296"/>
      <c r="I27" s="297"/>
      <c r="J27" s="297"/>
      <c r="K27" s="297"/>
      <c r="L27" s="295"/>
    </row>
    <row r="28" spans="1:12" s="286" customFormat="1" ht="33" customHeight="1" x14ac:dyDescent="0.3">
      <c r="A28" s="292"/>
      <c r="B28" s="294"/>
      <c r="C28" s="294"/>
      <c r="D28" s="293"/>
      <c r="E28" s="295"/>
      <c r="F28" s="295"/>
      <c r="G28" s="295"/>
      <c r="H28" s="296"/>
      <c r="I28" s="297"/>
      <c r="J28" s="297"/>
      <c r="K28" s="297"/>
      <c r="L28" s="295"/>
    </row>
    <row r="29" spans="1:12" s="286" customFormat="1" ht="70.5" customHeight="1" x14ac:dyDescent="0.3">
      <c r="A29" s="292"/>
      <c r="B29" s="294"/>
      <c r="C29" s="294"/>
      <c r="D29" s="293"/>
      <c r="E29" s="295"/>
      <c r="F29" s="295"/>
      <c r="G29" s="295"/>
      <c r="H29" s="296"/>
      <c r="I29" s="297"/>
      <c r="J29" s="297"/>
      <c r="K29" s="297"/>
      <c r="L29" s="295"/>
    </row>
    <row r="30" spans="1:12" s="286" customFormat="1" ht="18.75" x14ac:dyDescent="0.25">
      <c r="A30" s="292"/>
      <c r="B30" s="287"/>
      <c r="C30" s="287"/>
      <c r="D30" s="262"/>
      <c r="E30" s="263"/>
      <c r="F30" s="263"/>
      <c r="G30" s="263"/>
      <c r="H30" s="264"/>
      <c r="I30" s="265"/>
      <c r="J30" s="266"/>
      <c r="K30" s="266"/>
      <c r="L30" s="295"/>
    </row>
    <row r="31" spans="1:12" s="286" customFormat="1" ht="18" x14ac:dyDescent="0.25">
      <c r="A31" s="253"/>
      <c r="B31" s="262"/>
      <c r="C31" s="267"/>
      <c r="D31" s="262"/>
      <c r="E31" s="263"/>
      <c r="F31" s="263"/>
      <c r="G31" s="263"/>
      <c r="H31" s="264"/>
      <c r="I31" s="265"/>
      <c r="J31" s="266"/>
      <c r="K31" s="266"/>
      <c r="L31" s="295"/>
    </row>
    <row r="32" spans="1:12" s="286" customFormat="1" ht="18" x14ac:dyDescent="0.25">
      <c r="A32" s="253"/>
      <c r="B32" s="262"/>
      <c r="C32" s="267"/>
      <c r="D32" s="262"/>
      <c r="E32" s="263"/>
      <c r="F32" s="263"/>
      <c r="G32" s="263"/>
      <c r="H32" s="264"/>
      <c r="I32" s="265"/>
      <c r="J32" s="266"/>
      <c r="K32" s="266"/>
      <c r="L32" s="295"/>
    </row>
    <row r="33" spans="1:12" s="286" customFormat="1" ht="18" x14ac:dyDescent="0.25">
      <c r="A33" s="253"/>
      <c r="B33" s="262"/>
      <c r="C33" s="267"/>
      <c r="D33" s="262"/>
      <c r="E33" s="263"/>
      <c r="F33" s="263"/>
      <c r="G33" s="263"/>
      <c r="H33" s="264"/>
      <c r="I33" s="265"/>
      <c r="J33" s="266"/>
      <c r="K33" s="266"/>
      <c r="L33" s="295"/>
    </row>
    <row r="34" spans="1:12" s="286" customFormat="1" ht="18" x14ac:dyDescent="0.25">
      <c r="A34" s="253"/>
      <c r="B34" s="262"/>
      <c r="C34" s="267"/>
      <c r="D34" s="262"/>
      <c r="E34" s="263"/>
      <c r="F34" s="263"/>
      <c r="G34" s="263"/>
      <c r="H34" s="264"/>
      <c r="I34" s="265"/>
      <c r="J34" s="266"/>
      <c r="K34" s="266"/>
      <c r="L34" s="295"/>
    </row>
    <row r="35" spans="1:12" s="286" customFormat="1" ht="18" x14ac:dyDescent="0.25">
      <c r="A35" s="253"/>
      <c r="B35" s="262"/>
      <c r="C35" s="267"/>
      <c r="D35" s="262"/>
      <c r="E35" s="263"/>
      <c r="F35" s="263"/>
      <c r="G35" s="263"/>
      <c r="H35" s="268"/>
      <c r="I35" s="265"/>
      <c r="J35" s="266"/>
      <c r="K35" s="266"/>
      <c r="L35" s="295"/>
    </row>
    <row r="36" spans="1:12" s="286" customFormat="1" ht="18" x14ac:dyDescent="0.25">
      <c r="A36" s="253"/>
      <c r="B36" s="262"/>
      <c r="C36" s="267"/>
      <c r="D36" s="262"/>
      <c r="E36" s="263"/>
      <c r="F36" s="263"/>
      <c r="G36" s="263"/>
      <c r="H36" s="264"/>
      <c r="I36" s="265"/>
      <c r="J36" s="266"/>
      <c r="K36" s="266"/>
      <c r="L36" s="295"/>
    </row>
    <row r="37" spans="1:12" s="286" customFormat="1" ht="18" x14ac:dyDescent="0.25">
      <c r="A37" s="253"/>
      <c r="B37" s="262"/>
      <c r="C37" s="267"/>
      <c r="D37" s="262"/>
      <c r="E37" s="263"/>
      <c r="F37" s="263"/>
      <c r="G37" s="263"/>
      <c r="H37" s="268"/>
      <c r="I37" s="265"/>
      <c r="J37" s="266"/>
      <c r="K37" s="266"/>
      <c r="L37" s="295"/>
    </row>
    <row r="38" spans="1:12" s="286" customFormat="1" ht="18" x14ac:dyDescent="0.25">
      <c r="A38" s="253"/>
      <c r="B38" s="262"/>
      <c r="C38" s="267"/>
      <c r="D38" s="262"/>
      <c r="E38" s="263"/>
      <c r="F38" s="263"/>
      <c r="G38" s="263"/>
      <c r="H38" s="264"/>
      <c r="I38" s="265"/>
      <c r="J38" s="266"/>
      <c r="K38" s="266"/>
      <c r="L38" s="295"/>
    </row>
    <row r="39" spans="1:12" s="286" customFormat="1" ht="18" x14ac:dyDescent="0.25">
      <c r="A39" s="253"/>
      <c r="B39" s="262"/>
      <c r="C39" s="267"/>
      <c r="D39" s="262"/>
      <c r="E39" s="263"/>
      <c r="F39" s="263"/>
      <c r="G39" s="263"/>
      <c r="H39" s="264"/>
      <c r="I39" s="265"/>
      <c r="J39" s="266"/>
      <c r="K39" s="266"/>
      <c r="L39" s="295"/>
    </row>
    <row r="40" spans="1:12" s="286" customFormat="1" ht="18" x14ac:dyDescent="0.25">
      <c r="A40" s="253"/>
      <c r="B40" s="262"/>
      <c r="C40" s="267"/>
      <c r="D40" s="262"/>
      <c r="E40" s="263"/>
      <c r="F40" s="263"/>
      <c r="G40" s="263"/>
      <c r="H40" s="264"/>
      <c r="I40" s="265"/>
      <c r="J40" s="266"/>
      <c r="K40" s="266"/>
      <c r="L40" s="295"/>
    </row>
    <row r="41" spans="1:12" s="286" customFormat="1" ht="18" x14ac:dyDescent="0.25">
      <c r="A41" s="253"/>
      <c r="B41" s="262"/>
      <c r="C41" s="267"/>
      <c r="D41" s="262"/>
      <c r="E41" s="263"/>
      <c r="F41" s="263"/>
      <c r="G41" s="263"/>
      <c r="H41" s="264"/>
      <c r="I41" s="265"/>
      <c r="J41" s="266"/>
      <c r="K41" s="266"/>
      <c r="L41" s="295"/>
    </row>
    <row r="42" spans="1:12" s="286" customFormat="1" ht="18" x14ac:dyDescent="0.25">
      <c r="A42" s="253"/>
      <c r="B42" s="262"/>
      <c r="C42" s="267"/>
      <c r="D42" s="262"/>
      <c r="E42" s="263"/>
      <c r="F42" s="263"/>
      <c r="G42" s="263"/>
      <c r="H42" s="268"/>
      <c r="I42" s="265"/>
      <c r="J42" s="266"/>
      <c r="K42" s="266"/>
      <c r="L42" s="295"/>
    </row>
    <row r="43" spans="1:12" s="286" customFormat="1" ht="18" x14ac:dyDescent="0.25">
      <c r="A43" s="253"/>
      <c r="B43" s="262"/>
      <c r="C43" s="267"/>
      <c r="D43" s="262"/>
      <c r="E43" s="263"/>
      <c r="F43" s="263"/>
      <c r="G43" s="263"/>
      <c r="H43" s="264"/>
      <c r="I43" s="265"/>
      <c r="J43" s="266"/>
      <c r="K43" s="266"/>
      <c r="L43" s="295"/>
    </row>
    <row r="44" spans="1:12" s="286" customFormat="1" ht="18" x14ac:dyDescent="0.25">
      <c r="A44" s="253"/>
      <c r="B44" s="262"/>
      <c r="C44" s="267"/>
      <c r="D44" s="262"/>
      <c r="E44" s="263"/>
      <c r="F44" s="263"/>
      <c r="G44" s="263"/>
      <c r="H44" s="264"/>
      <c r="I44" s="265"/>
      <c r="J44" s="266"/>
      <c r="K44" s="266"/>
      <c r="L44" s="254">
        <f t="shared" ref="L44:L52" si="1">SUM(F44+H44)</f>
        <v>0</v>
      </c>
    </row>
    <row r="45" spans="1:12" s="286" customFormat="1" ht="18" x14ac:dyDescent="0.25">
      <c r="A45" s="253"/>
      <c r="B45" s="262"/>
      <c r="C45" s="267"/>
      <c r="D45" s="262"/>
      <c r="E45" s="263"/>
      <c r="F45" s="263"/>
      <c r="G45" s="263"/>
      <c r="H45" s="264"/>
      <c r="I45" s="265"/>
      <c r="J45" s="266"/>
      <c r="K45" s="266"/>
      <c r="L45" s="254">
        <f t="shared" si="1"/>
        <v>0</v>
      </c>
    </row>
    <row r="46" spans="1:12" s="286" customFormat="1" ht="18" x14ac:dyDescent="0.25">
      <c r="A46" s="253"/>
      <c r="B46" s="262"/>
      <c r="C46" s="267"/>
      <c r="D46" s="262"/>
      <c r="E46" s="263"/>
      <c r="F46" s="263"/>
      <c r="G46" s="263"/>
      <c r="H46" s="264"/>
      <c r="I46" s="265"/>
      <c r="J46" s="266"/>
      <c r="K46" s="266"/>
      <c r="L46" s="254">
        <f t="shared" si="1"/>
        <v>0</v>
      </c>
    </row>
    <row r="47" spans="1:12" s="286" customFormat="1" ht="18" x14ac:dyDescent="0.25">
      <c r="A47" s="253"/>
      <c r="B47" s="262"/>
      <c r="C47" s="267"/>
      <c r="D47" s="262"/>
      <c r="E47" s="263"/>
      <c r="F47" s="263"/>
      <c r="G47" s="263"/>
      <c r="H47" s="268"/>
      <c r="I47" s="269"/>
      <c r="J47" s="268"/>
      <c r="K47" s="268"/>
      <c r="L47" s="254">
        <f t="shared" si="1"/>
        <v>0</v>
      </c>
    </row>
    <row r="48" spans="1:12" s="286" customFormat="1" ht="18" x14ac:dyDescent="0.25">
      <c r="A48" s="253"/>
      <c r="B48" s="262"/>
      <c r="C48" s="267"/>
      <c r="D48" s="262"/>
      <c r="E48" s="263"/>
      <c r="F48" s="263"/>
      <c r="G48" s="263"/>
      <c r="H48" s="268"/>
      <c r="I48" s="269"/>
      <c r="J48" s="268"/>
      <c r="K48" s="268"/>
      <c r="L48" s="254">
        <f t="shared" si="1"/>
        <v>0</v>
      </c>
    </row>
    <row r="49" spans="1:12" s="286" customFormat="1" ht="18" x14ac:dyDescent="0.25">
      <c r="A49" s="253"/>
      <c r="B49" s="262"/>
      <c r="C49" s="267"/>
      <c r="D49" s="262"/>
      <c r="E49" s="263"/>
      <c r="F49" s="263"/>
      <c r="G49" s="263"/>
      <c r="H49" s="268"/>
      <c r="I49" s="269"/>
      <c r="J49" s="268"/>
      <c r="K49" s="268"/>
      <c r="L49" s="254">
        <f t="shared" si="1"/>
        <v>0</v>
      </c>
    </row>
    <row r="50" spans="1:12" s="286" customFormat="1" ht="18" x14ac:dyDescent="0.25">
      <c r="A50" s="253"/>
      <c r="B50" s="262"/>
      <c r="C50" s="267"/>
      <c r="D50" s="262"/>
      <c r="E50" s="263"/>
      <c r="F50" s="263"/>
      <c r="G50" s="263"/>
      <c r="H50" s="268"/>
      <c r="I50" s="269"/>
      <c r="J50" s="268"/>
      <c r="K50" s="268"/>
      <c r="L50" s="254">
        <f t="shared" si="1"/>
        <v>0</v>
      </c>
    </row>
    <row r="51" spans="1:12" ht="18" x14ac:dyDescent="0.25">
      <c r="A51" s="256"/>
      <c r="B51" s="257"/>
      <c r="C51" s="258"/>
      <c r="D51" s="257"/>
      <c r="E51" s="259"/>
      <c r="F51" s="259"/>
      <c r="G51" s="259"/>
      <c r="H51" s="260"/>
      <c r="I51" s="261"/>
      <c r="J51" s="260"/>
      <c r="K51" s="260"/>
      <c r="L51" s="254">
        <f t="shared" si="1"/>
        <v>0</v>
      </c>
    </row>
    <row r="52" spans="1:12" ht="18" x14ac:dyDescent="0.25">
      <c r="A52" s="253"/>
      <c r="B52" s="33"/>
      <c r="C52" s="32"/>
      <c r="D52" s="33"/>
      <c r="E52" s="183"/>
      <c r="F52" s="183"/>
      <c r="G52" s="183"/>
      <c r="H52" s="36"/>
      <c r="I52" s="37"/>
      <c r="J52" s="36"/>
      <c r="K52" s="36"/>
      <c r="L52" s="254">
        <f t="shared" si="1"/>
        <v>0</v>
      </c>
    </row>
    <row r="53" spans="1:12" ht="15.75" x14ac:dyDescent="0.25">
      <c r="A53" s="253"/>
      <c r="B53" s="33"/>
      <c r="C53" s="32"/>
      <c r="D53" s="33"/>
      <c r="E53" s="183"/>
      <c r="F53" s="183"/>
      <c r="G53" s="183"/>
      <c r="H53" s="36"/>
      <c r="I53" s="37"/>
      <c r="J53" s="36"/>
      <c r="K53" s="36"/>
      <c r="L53" s="198"/>
    </row>
    <row r="54" spans="1:12" ht="15.75" x14ac:dyDescent="0.25">
      <c r="A54" s="253"/>
      <c r="B54" s="33"/>
      <c r="C54" s="32"/>
      <c r="D54" s="33"/>
      <c r="E54" s="183"/>
      <c r="F54" s="183"/>
      <c r="G54" s="183"/>
      <c r="H54" s="36"/>
      <c r="I54" s="37"/>
      <c r="J54" s="36"/>
      <c r="K54" s="36"/>
      <c r="L54" s="198"/>
    </row>
    <row r="55" spans="1:12" ht="15.75" x14ac:dyDescent="0.25">
      <c r="A55" s="253"/>
      <c r="B55" s="33"/>
      <c r="C55" s="32"/>
      <c r="D55" s="33"/>
      <c r="E55" s="183"/>
      <c r="F55" s="183"/>
      <c r="G55" s="183"/>
      <c r="H55" s="36"/>
      <c r="I55" s="37"/>
      <c r="J55" s="36"/>
      <c r="K55" s="36"/>
      <c r="L55" s="198"/>
    </row>
    <row r="56" spans="1:12" ht="15.75" x14ac:dyDescent="0.25">
      <c r="A56" s="253"/>
      <c r="B56" s="33"/>
      <c r="C56" s="32"/>
      <c r="D56" s="33"/>
      <c r="E56" s="183"/>
      <c r="F56" s="183"/>
      <c r="G56" s="183"/>
      <c r="H56" s="36"/>
      <c r="I56" s="37"/>
      <c r="J56" s="37"/>
      <c r="K56" s="37"/>
      <c r="L56" s="198"/>
    </row>
    <row r="57" spans="1:12" ht="15.75" x14ac:dyDescent="0.25">
      <c r="A57" s="253"/>
      <c r="B57" s="33"/>
      <c r="C57" s="32"/>
      <c r="D57" s="33"/>
      <c r="E57" s="183"/>
      <c r="F57" s="183"/>
      <c r="G57" s="183"/>
      <c r="H57" s="36"/>
      <c r="I57" s="37"/>
      <c r="J57" s="37"/>
      <c r="K57" s="37"/>
      <c r="L57" s="198"/>
    </row>
    <row r="58" spans="1:12" ht="15.75" x14ac:dyDescent="0.25">
      <c r="A58" s="253"/>
      <c r="B58" s="33"/>
      <c r="C58" s="32"/>
      <c r="D58" s="33"/>
      <c r="E58" s="183"/>
      <c r="F58" s="183"/>
      <c r="G58" s="183"/>
      <c r="H58" s="36"/>
      <c r="I58" s="37"/>
      <c r="J58" s="37"/>
      <c r="K58" s="37"/>
      <c r="L58" s="198"/>
    </row>
    <row r="59" spans="1:12" ht="15.75" x14ac:dyDescent="0.25">
      <c r="A59" s="253"/>
      <c r="B59" s="33"/>
      <c r="C59" s="32"/>
      <c r="D59" s="33"/>
      <c r="E59" s="183"/>
      <c r="F59" s="183"/>
      <c r="G59" s="183"/>
      <c r="H59" s="36"/>
      <c r="I59" s="37"/>
      <c r="J59" s="37"/>
      <c r="K59" s="37"/>
      <c r="L59" s="198"/>
    </row>
    <row r="60" spans="1:12" ht="15.75" x14ac:dyDescent="0.25">
      <c r="A60" s="253"/>
      <c r="B60" s="33"/>
      <c r="C60" s="32"/>
      <c r="D60" s="33"/>
      <c r="E60" s="183"/>
      <c r="F60" s="183"/>
      <c r="G60" s="183"/>
      <c r="H60" s="36"/>
      <c r="I60" s="37"/>
      <c r="J60" s="37"/>
      <c r="K60" s="37"/>
      <c r="L60" s="198"/>
    </row>
    <row r="61" spans="1:12" ht="15.75" x14ac:dyDescent="0.25">
      <c r="A61" s="253"/>
      <c r="B61" s="33"/>
      <c r="C61" s="32"/>
      <c r="D61" s="33"/>
      <c r="E61" s="183"/>
      <c r="F61" s="183"/>
      <c r="G61" s="183"/>
      <c r="H61" s="36"/>
      <c r="I61" s="37"/>
      <c r="J61" s="37"/>
      <c r="K61" s="37"/>
      <c r="L61" s="198"/>
    </row>
    <row r="62" spans="1:12" ht="15.75" x14ac:dyDescent="0.25">
      <c r="A62" s="253"/>
      <c r="B62" s="33"/>
      <c r="C62" s="32"/>
      <c r="D62" s="33"/>
      <c r="E62" s="183"/>
      <c r="F62" s="183"/>
      <c r="G62" s="183"/>
      <c r="H62" s="36"/>
      <c r="I62" s="37"/>
      <c r="J62" s="37"/>
      <c r="K62" s="37"/>
      <c r="L62" s="198"/>
    </row>
    <row r="63" spans="1:12" ht="15.75" x14ac:dyDescent="0.25">
      <c r="A63" s="253"/>
      <c r="B63" s="33"/>
      <c r="C63" s="32"/>
      <c r="D63" s="33"/>
      <c r="E63" s="183"/>
      <c r="F63" s="183"/>
      <c r="G63" s="183"/>
      <c r="H63" s="36"/>
      <c r="I63" s="37"/>
      <c r="J63" s="37"/>
      <c r="K63" s="37"/>
      <c r="L63" s="198"/>
    </row>
    <row r="64" spans="1:12" ht="15.75" x14ac:dyDescent="0.25">
      <c r="A64" s="253"/>
      <c r="B64" s="33"/>
      <c r="C64" s="32"/>
      <c r="D64" s="33"/>
      <c r="E64" s="183"/>
      <c r="F64" s="183"/>
      <c r="G64" s="183"/>
      <c r="H64" s="36"/>
      <c r="I64" s="37"/>
      <c r="J64" s="37"/>
      <c r="K64" s="37"/>
      <c r="L64" s="198"/>
    </row>
    <row r="65" spans="1:12" ht="15.75" x14ac:dyDescent="0.25">
      <c r="A65" s="253"/>
      <c r="B65" s="33"/>
      <c r="C65" s="32"/>
      <c r="D65" s="33"/>
      <c r="E65" s="183"/>
      <c r="F65" s="183"/>
      <c r="G65" s="183"/>
      <c r="H65" s="36"/>
      <c r="I65" s="37"/>
      <c r="J65" s="37"/>
      <c r="K65" s="37"/>
      <c r="L65" s="198"/>
    </row>
    <row r="66" spans="1:12" ht="15.75" x14ac:dyDescent="0.25">
      <c r="A66" s="253"/>
      <c r="B66" s="33"/>
      <c r="C66" s="32"/>
      <c r="D66" s="33"/>
      <c r="E66" s="183"/>
      <c r="F66" s="183"/>
      <c r="G66" s="183"/>
      <c r="H66" s="36"/>
      <c r="I66" s="37"/>
      <c r="J66" s="37"/>
      <c r="K66" s="37"/>
      <c r="L66" s="198"/>
    </row>
    <row r="67" spans="1:12" ht="15.75" x14ac:dyDescent="0.25">
      <c r="A67" s="253"/>
      <c r="B67" s="33"/>
      <c r="C67" s="32"/>
      <c r="D67" s="33"/>
      <c r="E67" s="183"/>
      <c r="F67" s="183"/>
      <c r="G67" s="183"/>
      <c r="H67" s="36"/>
      <c r="I67" s="37"/>
      <c r="J67" s="37"/>
      <c r="K67" s="37"/>
      <c r="L67" s="198"/>
    </row>
    <row r="68" spans="1:12" ht="15.75" x14ac:dyDescent="0.25">
      <c r="A68" s="253"/>
      <c r="B68" s="33"/>
      <c r="C68" s="32"/>
      <c r="D68" s="33"/>
      <c r="E68" s="183"/>
      <c r="F68" s="183"/>
      <c r="G68" s="183"/>
      <c r="H68" s="36"/>
      <c r="I68" s="37"/>
      <c r="J68" s="37"/>
      <c r="K68" s="37"/>
      <c r="L68" s="198"/>
    </row>
    <row r="69" spans="1:12" ht="15.75" x14ac:dyDescent="0.25">
      <c r="A69" s="253"/>
      <c r="B69" s="33"/>
      <c r="C69" s="32"/>
      <c r="D69" s="33"/>
      <c r="E69" s="183"/>
      <c r="F69" s="183"/>
      <c r="G69" s="183"/>
      <c r="H69" s="36"/>
      <c r="I69" s="37"/>
      <c r="J69" s="37"/>
      <c r="K69" s="37"/>
      <c r="L69" s="198"/>
    </row>
    <row r="70" spans="1:12" ht="15.75" x14ac:dyDescent="0.25">
      <c r="A70" s="253"/>
      <c r="B70" s="33"/>
      <c r="C70" s="32"/>
      <c r="D70" s="33"/>
      <c r="E70" s="183"/>
      <c r="F70" s="183"/>
      <c r="G70" s="183"/>
      <c r="H70" s="36"/>
      <c r="I70" s="37"/>
      <c r="J70" s="37"/>
      <c r="K70" s="37"/>
      <c r="L70" s="198"/>
    </row>
    <row r="71" spans="1:12" ht="15.75" x14ac:dyDescent="0.25">
      <c r="A71" s="253"/>
      <c r="B71" s="33"/>
      <c r="C71" s="32"/>
      <c r="D71" s="33"/>
      <c r="E71" s="183"/>
      <c r="F71" s="183"/>
      <c r="G71" s="183"/>
      <c r="H71" s="36"/>
      <c r="I71" s="37"/>
      <c r="J71" s="37"/>
      <c r="K71" s="37"/>
      <c r="L71" s="198"/>
    </row>
    <row r="72" spans="1:12" ht="15.75" x14ac:dyDescent="0.25">
      <c r="A72" s="253"/>
      <c r="B72" s="33"/>
      <c r="C72" s="32"/>
      <c r="D72" s="33"/>
      <c r="E72" s="183"/>
      <c r="F72" s="183"/>
      <c r="G72" s="183"/>
      <c r="H72" s="36"/>
      <c r="I72" s="37"/>
      <c r="J72" s="37"/>
      <c r="K72" s="37"/>
      <c r="L72" s="198"/>
    </row>
    <row r="73" spans="1:12" ht="15.75" x14ac:dyDescent="0.25">
      <c r="A73" s="253"/>
      <c r="B73" s="33"/>
      <c r="C73" s="32"/>
      <c r="D73" s="33"/>
      <c r="E73" s="183"/>
      <c r="F73" s="183"/>
      <c r="G73" s="183"/>
      <c r="H73" s="36"/>
      <c r="I73" s="37"/>
      <c r="J73" s="37"/>
      <c r="K73" s="37"/>
      <c r="L73" s="198"/>
    </row>
    <row r="74" spans="1:12" ht="15.75" x14ac:dyDescent="0.25">
      <c r="A74" s="253"/>
      <c r="B74" s="33"/>
      <c r="C74" s="32"/>
      <c r="D74" s="33"/>
      <c r="E74" s="183"/>
      <c r="F74" s="183"/>
      <c r="G74" s="183"/>
      <c r="H74" s="36"/>
      <c r="I74" s="37"/>
      <c r="J74" s="37"/>
      <c r="K74" s="37"/>
      <c r="L74" s="198"/>
    </row>
    <row r="75" spans="1:12" ht="15.75" x14ac:dyDescent="0.25">
      <c r="A75" s="253"/>
      <c r="B75" s="33"/>
      <c r="C75" s="32"/>
      <c r="D75" s="33"/>
      <c r="E75" s="183"/>
      <c r="F75" s="183"/>
      <c r="G75" s="183"/>
      <c r="H75" s="36"/>
      <c r="I75" s="37"/>
      <c r="J75" s="37"/>
      <c r="K75" s="37"/>
      <c r="L75" s="198"/>
    </row>
  </sheetData>
  <autoFilter ref="A3:L4" xr:uid="{00000000-0009-0000-0000-000002000000}"/>
  <mergeCells count="20">
    <mergeCell ref="G22:G23"/>
    <mergeCell ref="F22:F23"/>
    <mergeCell ref="H22:H23"/>
    <mergeCell ref="A1:L1"/>
    <mergeCell ref="G2:K2"/>
    <mergeCell ref="G5:G6"/>
    <mergeCell ref="F5:F6"/>
    <mergeCell ref="H5:H6"/>
    <mergeCell ref="G18:G21"/>
    <mergeCell ref="F18:F21"/>
    <mergeCell ref="H18:H21"/>
    <mergeCell ref="E7:E8"/>
    <mergeCell ref="G9:G10"/>
    <mergeCell ref="F9:F10"/>
    <mergeCell ref="H9:H10"/>
    <mergeCell ref="G12:G15"/>
    <mergeCell ref="F12:F15"/>
    <mergeCell ref="H12:H15"/>
    <mergeCell ref="E12:E15"/>
    <mergeCell ref="J12:J15"/>
  </mergeCells>
  <dataValidations count="1">
    <dataValidation type="whole" allowBlank="1" showInputMessage="1" showErrorMessage="1" sqref="F30:F64 E9:E12 F24:F26 D30:D64 E6:E7 F16 E16:E64 F18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5"/>
  <sheetViews>
    <sheetView zoomScale="89" zoomScaleNormal="89" workbookViewId="0">
      <selection activeCell="I12" sqref="I12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7.855468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29" t="s">
        <v>0</v>
      </c>
      <c r="B1" s="329"/>
      <c r="C1" s="329"/>
      <c r="D1" s="329"/>
      <c r="E1" s="329"/>
      <c r="F1" s="329"/>
      <c r="G1" s="329"/>
      <c r="I1" s="329" t="s">
        <v>0</v>
      </c>
      <c r="J1" s="329"/>
      <c r="K1" s="329"/>
      <c r="L1" s="329"/>
      <c r="M1" s="329"/>
      <c r="N1" s="329"/>
      <c r="O1" s="329"/>
    </row>
    <row r="2" spans="1:15" x14ac:dyDescent="0.25">
      <c r="A2" s="330"/>
      <c r="B2" s="330"/>
      <c r="C2" s="330"/>
      <c r="D2" s="330"/>
      <c r="E2" s="330"/>
      <c r="F2" s="330"/>
      <c r="G2" s="330"/>
      <c r="I2" s="330"/>
      <c r="J2" s="330"/>
      <c r="K2" s="330"/>
      <c r="L2" s="330"/>
      <c r="M2" s="330"/>
      <c r="N2" s="330"/>
      <c r="O2" s="330"/>
    </row>
    <row r="3" spans="1:15" ht="18.75" x14ac:dyDescent="0.3">
      <c r="A3" s="331" t="s">
        <v>83</v>
      </c>
      <c r="B3" s="331"/>
      <c r="C3" s="131" t="s">
        <v>217</v>
      </c>
      <c r="D3" s="131"/>
      <c r="E3" s="132"/>
      <c r="F3" s="133" t="s">
        <v>84</v>
      </c>
      <c r="G3" s="132" t="s">
        <v>120</v>
      </c>
      <c r="I3" s="331" t="s">
        <v>83</v>
      </c>
      <c r="J3" s="331"/>
      <c r="K3" s="131" t="s">
        <v>119</v>
      </c>
      <c r="L3" s="131"/>
      <c r="M3" s="132"/>
      <c r="N3" s="133" t="s">
        <v>84</v>
      </c>
      <c r="O3" s="132" t="s">
        <v>117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30" x14ac:dyDescent="0.25">
      <c r="A6" s="135">
        <v>1</v>
      </c>
      <c r="B6" s="221">
        <v>45934</v>
      </c>
      <c r="C6" s="108" t="s">
        <v>134</v>
      </c>
      <c r="D6" s="145" t="s">
        <v>196</v>
      </c>
      <c r="E6" s="108" t="s">
        <v>135</v>
      </c>
      <c r="F6" s="108" t="s">
        <v>197</v>
      </c>
      <c r="G6" s="108">
        <v>330</v>
      </c>
      <c r="I6" s="135"/>
      <c r="J6" s="178"/>
      <c r="K6" s="108"/>
      <c r="L6" s="145"/>
      <c r="M6" s="108"/>
      <c r="N6" s="108"/>
      <c r="O6" s="108"/>
    </row>
    <row r="7" spans="1:15" ht="30" x14ac:dyDescent="0.25">
      <c r="A7" s="135">
        <f>SUM(A6+1)</f>
        <v>2</v>
      </c>
      <c r="B7" s="221">
        <v>45935</v>
      </c>
      <c r="C7" s="108" t="s">
        <v>134</v>
      </c>
      <c r="D7" s="145" t="s">
        <v>199</v>
      </c>
      <c r="E7" s="108" t="s">
        <v>135</v>
      </c>
      <c r="F7" s="108" t="s">
        <v>198</v>
      </c>
      <c r="G7" s="108">
        <v>1610</v>
      </c>
      <c r="I7" s="135"/>
      <c r="J7" s="178"/>
      <c r="K7" s="108"/>
      <c r="L7" s="108"/>
      <c r="M7" s="108"/>
      <c r="N7" s="108"/>
      <c r="O7" s="108"/>
    </row>
    <row r="8" spans="1:15" ht="75" x14ac:dyDescent="0.25">
      <c r="A8" s="135">
        <f t="shared" ref="A8:A12" si="0">SUM(A7+1)</f>
        <v>3</v>
      </c>
      <c r="B8" s="221">
        <v>45936</v>
      </c>
      <c r="C8" s="108" t="s">
        <v>134</v>
      </c>
      <c r="D8" s="145" t="s">
        <v>200</v>
      </c>
      <c r="E8" s="108" t="s">
        <v>135</v>
      </c>
      <c r="F8" s="108" t="s">
        <v>201</v>
      </c>
      <c r="G8" s="108">
        <v>6000</v>
      </c>
      <c r="I8" s="135"/>
      <c r="J8" s="178"/>
      <c r="K8" s="108"/>
      <c r="L8" s="145"/>
      <c r="M8" s="108"/>
      <c r="N8" s="108"/>
      <c r="O8" s="108"/>
    </row>
    <row r="9" spans="1:15" ht="30" x14ac:dyDescent="0.25">
      <c r="A9" s="135">
        <f t="shared" si="0"/>
        <v>4</v>
      </c>
      <c r="B9" s="221">
        <v>45937</v>
      </c>
      <c r="C9" s="108" t="s">
        <v>134</v>
      </c>
      <c r="D9" s="145" t="s">
        <v>208</v>
      </c>
      <c r="E9" s="108" t="s">
        <v>135</v>
      </c>
      <c r="F9" s="108" t="s">
        <v>210</v>
      </c>
      <c r="G9" s="108">
        <v>70</v>
      </c>
      <c r="I9" s="135"/>
      <c r="J9" s="178"/>
      <c r="K9" s="108"/>
      <c r="L9" s="108"/>
      <c r="M9" s="108"/>
      <c r="N9" s="108"/>
      <c r="O9" s="108"/>
    </row>
    <row r="10" spans="1:15" ht="18.75" x14ac:dyDescent="0.25">
      <c r="A10" s="135">
        <f t="shared" si="0"/>
        <v>5</v>
      </c>
      <c r="B10" s="221">
        <v>45938</v>
      </c>
      <c r="C10" s="108"/>
      <c r="D10" s="145" t="s">
        <v>211</v>
      </c>
      <c r="E10" s="108" t="s">
        <v>135</v>
      </c>
      <c r="F10" s="108" t="s">
        <v>210</v>
      </c>
      <c r="G10" s="108">
        <v>120</v>
      </c>
      <c r="I10" s="135"/>
      <c r="J10" s="178"/>
      <c r="K10" s="108"/>
      <c r="L10" s="108"/>
      <c r="M10" s="108"/>
      <c r="N10" s="108"/>
      <c r="O10" s="108"/>
    </row>
    <row r="11" spans="1:15" ht="45.75" customHeight="1" x14ac:dyDescent="0.25">
      <c r="A11" s="135">
        <f t="shared" si="0"/>
        <v>6</v>
      </c>
      <c r="B11" s="221">
        <v>45938</v>
      </c>
      <c r="C11" s="108" t="s">
        <v>134</v>
      </c>
      <c r="D11" s="145" t="s">
        <v>209</v>
      </c>
      <c r="E11" s="108" t="s">
        <v>135</v>
      </c>
      <c r="F11" s="108" t="s">
        <v>201</v>
      </c>
      <c r="G11" s="108">
        <v>3000</v>
      </c>
      <c r="I11" s="135"/>
      <c r="J11" s="178"/>
      <c r="K11" s="108"/>
      <c r="L11" s="108"/>
      <c r="M11" s="108"/>
      <c r="N11" s="108"/>
      <c r="O11" s="108"/>
    </row>
    <row r="12" spans="1:15" ht="36.75" customHeight="1" x14ac:dyDescent="0.25">
      <c r="A12" s="135">
        <f t="shared" si="0"/>
        <v>7</v>
      </c>
      <c r="B12" s="221">
        <v>45939</v>
      </c>
      <c r="C12" s="108" t="s">
        <v>134</v>
      </c>
      <c r="D12" s="145" t="s">
        <v>196</v>
      </c>
      <c r="E12" s="108" t="s">
        <v>135</v>
      </c>
      <c r="F12" s="108" t="s">
        <v>212</v>
      </c>
      <c r="G12" s="208">
        <v>400</v>
      </c>
      <c r="I12" s="135"/>
      <c r="J12" s="178"/>
      <c r="K12" s="108"/>
      <c r="L12" s="108"/>
      <c r="M12" s="108"/>
      <c r="N12" s="108"/>
      <c r="O12" s="108"/>
    </row>
    <row r="13" spans="1:15" ht="32.1" customHeight="1" x14ac:dyDescent="0.25">
      <c r="C13" s="332"/>
      <c r="D13" s="332"/>
      <c r="E13" s="332"/>
      <c r="G13" s="222"/>
      <c r="J13"/>
    </row>
    <row r="14" spans="1:15" x14ac:dyDescent="0.25">
      <c r="C14" s="332"/>
      <c r="D14" s="332"/>
      <c r="E14" s="332"/>
      <c r="F14" s="108" t="s">
        <v>23</v>
      </c>
      <c r="G14" s="108">
        <f>SUM(G6:G12)</f>
        <v>11530</v>
      </c>
      <c r="J14"/>
    </row>
    <row r="15" spans="1:15" ht="28.5" customHeight="1" x14ac:dyDescent="0.25">
      <c r="B15" s="186"/>
      <c r="C15" s="332"/>
      <c r="D15" s="332"/>
      <c r="E15" s="332"/>
      <c r="F15" s="333"/>
      <c r="G15" s="333"/>
      <c r="J15"/>
    </row>
    <row r="16" spans="1:15" ht="30.75" customHeight="1" x14ac:dyDescent="0.25">
      <c r="F16" s="330"/>
      <c r="G16" s="330"/>
      <c r="J16"/>
    </row>
    <row r="17" spans="1:15" ht="29.25" customHeight="1" x14ac:dyDescent="0.25">
      <c r="A17" s="137"/>
      <c r="B17" s="179"/>
      <c r="C17" s="114"/>
      <c r="D17" s="114"/>
      <c r="E17" s="114"/>
      <c r="F17" s="330"/>
      <c r="G17" s="330"/>
      <c r="J17"/>
    </row>
    <row r="18" spans="1:15" x14ac:dyDescent="0.25">
      <c r="A18" s="137" t="s">
        <v>78</v>
      </c>
      <c r="B18" s="179"/>
      <c r="C18" s="47"/>
      <c r="D18" s="47" t="s">
        <v>79</v>
      </c>
      <c r="E18" s="47"/>
      <c r="F18" s="47" t="s">
        <v>80</v>
      </c>
      <c r="G18" s="47"/>
      <c r="J18"/>
    </row>
    <row r="19" spans="1:15" ht="33.6" customHeight="1" x14ac:dyDescent="0.25">
      <c r="A19" s="138" t="s">
        <v>30</v>
      </c>
      <c r="C19" s="217"/>
      <c r="D19" s="114" t="s">
        <v>81</v>
      </c>
      <c r="F19" s="114" t="s">
        <v>82</v>
      </c>
      <c r="J19"/>
    </row>
    <row r="20" spans="1:15" x14ac:dyDescent="0.25">
      <c r="B20" s="217"/>
      <c r="C20" s="217"/>
      <c r="J20"/>
    </row>
    <row r="21" spans="1:15" x14ac:dyDescent="0.25">
      <c r="I21" s="124"/>
      <c r="J21" s="186"/>
      <c r="K21" s="124"/>
      <c r="L21" s="124"/>
      <c r="M21" s="124"/>
      <c r="N21" s="108"/>
      <c r="O21" s="134"/>
    </row>
    <row r="23" spans="1:15" x14ac:dyDescent="0.25">
      <c r="I23" s="114"/>
      <c r="J23" s="179"/>
      <c r="K23" s="114"/>
      <c r="L23" s="114"/>
      <c r="M23" s="114"/>
      <c r="N23" s="114"/>
      <c r="O23" s="114"/>
    </row>
    <row r="24" spans="1:15" x14ac:dyDescent="0.25">
      <c r="I24" s="137" t="s">
        <v>78</v>
      </c>
      <c r="J24" s="180"/>
      <c r="K24" s="47"/>
      <c r="L24" s="47" t="s">
        <v>79</v>
      </c>
      <c r="M24" s="47"/>
      <c r="N24" s="47" t="s">
        <v>80</v>
      </c>
      <c r="O24" s="47"/>
    </row>
    <row r="25" spans="1:15" x14ac:dyDescent="0.25">
      <c r="I25" s="138" t="s">
        <v>30</v>
      </c>
      <c r="J25" s="179"/>
      <c r="K25" s="114"/>
      <c r="L25" s="114" t="s">
        <v>81</v>
      </c>
      <c r="N25" s="114" t="s">
        <v>82</v>
      </c>
    </row>
  </sheetData>
  <mergeCells count="8">
    <mergeCell ref="I1:O1"/>
    <mergeCell ref="I2:O2"/>
    <mergeCell ref="I3:J3"/>
    <mergeCell ref="C13:E15"/>
    <mergeCell ref="F15:G17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99"/>
  <sheetViews>
    <sheetView topLeftCell="A73" workbookViewId="0">
      <selection activeCell="A70" sqref="A70:G85"/>
    </sheetView>
  </sheetViews>
  <sheetFormatPr defaultRowHeight="15" x14ac:dyDescent="0.25"/>
  <cols>
    <col min="2" max="2" width="11.285156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37" t="s">
        <v>0</v>
      </c>
      <c r="B1" s="338"/>
      <c r="C1" s="338"/>
      <c r="D1" s="338"/>
      <c r="E1" s="338"/>
      <c r="F1" s="338"/>
      <c r="G1" s="339"/>
      <c r="I1" s="337" t="s">
        <v>0</v>
      </c>
      <c r="J1" s="338"/>
      <c r="K1" s="338"/>
      <c r="L1" s="338"/>
      <c r="M1" s="338"/>
      <c r="N1" s="338"/>
      <c r="O1" s="339"/>
    </row>
    <row r="2" spans="1:15" x14ac:dyDescent="0.25">
      <c r="A2" s="340"/>
      <c r="B2" s="330"/>
      <c r="C2" s="330"/>
      <c r="D2" s="330"/>
      <c r="E2" s="330"/>
      <c r="F2" s="330"/>
      <c r="G2" s="341"/>
      <c r="I2" s="340"/>
      <c r="J2" s="330"/>
      <c r="K2" s="330"/>
      <c r="L2" s="330"/>
      <c r="M2" s="330"/>
      <c r="N2" s="330"/>
      <c r="O2" s="341"/>
    </row>
    <row r="3" spans="1:15" x14ac:dyDescent="0.25">
      <c r="A3" s="342" t="s">
        <v>83</v>
      </c>
      <c r="B3" s="343"/>
      <c r="C3" s="123" t="s">
        <v>219</v>
      </c>
      <c r="D3" s="123"/>
      <c r="E3" s="124"/>
      <c r="F3" s="125" t="s">
        <v>84</v>
      </c>
      <c r="G3" s="126" t="s">
        <v>117</v>
      </c>
      <c r="I3" s="342" t="s">
        <v>83</v>
      </c>
      <c r="J3" s="343"/>
      <c r="K3" s="123" t="s">
        <v>124</v>
      </c>
      <c r="L3" s="123"/>
      <c r="M3" s="124"/>
      <c r="N3" s="125" t="s">
        <v>84</v>
      </c>
      <c r="O3" s="126" t="s">
        <v>121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30" x14ac:dyDescent="0.25">
      <c r="A6" s="110">
        <v>1</v>
      </c>
      <c r="B6" s="178">
        <v>45935</v>
      </c>
      <c r="C6" s="145" t="s">
        <v>199</v>
      </c>
      <c r="D6" s="111" t="s">
        <v>134</v>
      </c>
      <c r="E6" s="167" t="s">
        <v>135</v>
      </c>
      <c r="F6" s="108" t="s">
        <v>136</v>
      </c>
      <c r="G6" s="112">
        <v>530</v>
      </c>
      <c r="I6" s="107">
        <v>1</v>
      </c>
      <c r="J6" s="221">
        <v>44964</v>
      </c>
      <c r="K6" s="145" t="s">
        <v>161</v>
      </c>
      <c r="L6" s="111" t="s">
        <v>134</v>
      </c>
      <c r="M6" s="196" t="s">
        <v>135</v>
      </c>
      <c r="N6" s="108" t="s">
        <v>145</v>
      </c>
      <c r="O6" s="112">
        <v>60</v>
      </c>
    </row>
    <row r="7" spans="1:15" ht="30" x14ac:dyDescent="0.25">
      <c r="A7" s="110">
        <v>2</v>
      </c>
      <c r="B7" s="178">
        <v>45939</v>
      </c>
      <c r="C7" s="145" t="s">
        <v>196</v>
      </c>
      <c r="D7" s="111" t="s">
        <v>134</v>
      </c>
      <c r="E7" s="167" t="s">
        <v>135</v>
      </c>
      <c r="F7" s="108" t="s">
        <v>136</v>
      </c>
      <c r="G7" s="112">
        <v>40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x14ac:dyDescent="0.25">
      <c r="A8" s="110"/>
      <c r="F8" s="111"/>
      <c r="G8" s="112"/>
      <c r="I8" s="116" t="s">
        <v>78</v>
      </c>
      <c r="J8" s="180"/>
      <c r="K8" s="47"/>
      <c r="L8" s="47" t="s">
        <v>79</v>
      </c>
      <c r="M8" s="47"/>
      <c r="N8" s="47" t="s">
        <v>80</v>
      </c>
      <c r="O8" s="117"/>
    </row>
    <row r="9" spans="1:15" ht="15.75" thickBot="1" x14ac:dyDescent="0.3">
      <c r="A9" s="105"/>
      <c r="F9" s="111" t="s">
        <v>23</v>
      </c>
      <c r="G9" s="112">
        <f>SUM(G6:G7)</f>
        <v>570</v>
      </c>
      <c r="I9" s="127" t="s">
        <v>30</v>
      </c>
      <c r="J9" s="191"/>
      <c r="K9" s="128"/>
      <c r="L9" s="128" t="s">
        <v>81</v>
      </c>
      <c r="M9" s="129"/>
      <c r="N9" s="128" t="s">
        <v>82</v>
      </c>
      <c r="O9" s="130"/>
    </row>
    <row r="10" spans="1:15" ht="15.75" thickBot="1" x14ac:dyDescent="0.3">
      <c r="A10" s="113"/>
      <c r="B10" s="179"/>
      <c r="C10" s="114"/>
      <c r="D10" s="114"/>
      <c r="E10" s="114"/>
      <c r="F10" s="114"/>
      <c r="G10" s="115"/>
    </row>
    <row r="11" spans="1:15" x14ac:dyDescent="0.25">
      <c r="A11" s="116" t="s">
        <v>78</v>
      </c>
      <c r="B11" s="180"/>
      <c r="C11" s="47"/>
      <c r="D11" s="47" t="s">
        <v>79</v>
      </c>
      <c r="E11" s="47"/>
      <c r="F11" s="47" t="s">
        <v>80</v>
      </c>
      <c r="G11" s="117"/>
      <c r="I11" s="337" t="s">
        <v>0</v>
      </c>
      <c r="J11" s="338"/>
      <c r="K11" s="338"/>
      <c r="L11" s="338"/>
      <c r="M11" s="338"/>
      <c r="N11" s="338"/>
      <c r="O11" s="339"/>
    </row>
    <row r="12" spans="1:15" ht="15.75" thickBot="1" x14ac:dyDescent="0.3">
      <c r="A12" s="127" t="s">
        <v>30</v>
      </c>
      <c r="B12" s="191"/>
      <c r="C12" s="128"/>
      <c r="D12" s="128" t="s">
        <v>81</v>
      </c>
      <c r="E12" s="129"/>
      <c r="F12" s="128" t="s">
        <v>82</v>
      </c>
      <c r="G12" s="130"/>
      <c r="I12" s="340"/>
      <c r="J12" s="330"/>
      <c r="K12" s="330"/>
      <c r="L12" s="330"/>
      <c r="M12" s="330"/>
      <c r="N12" s="330"/>
      <c r="O12" s="341"/>
    </row>
    <row r="13" spans="1:15" ht="15.75" thickBot="1" x14ac:dyDescent="0.3">
      <c r="I13" s="342" t="s">
        <v>83</v>
      </c>
      <c r="J13" s="343"/>
      <c r="K13" s="123" t="s">
        <v>125</v>
      </c>
      <c r="L13" s="123"/>
      <c r="M13" s="124"/>
      <c r="N13" s="125" t="s">
        <v>84</v>
      </c>
      <c r="O13" s="126" t="s">
        <v>117</v>
      </c>
    </row>
    <row r="14" spans="1:15" x14ac:dyDescent="0.25">
      <c r="A14" s="337" t="s">
        <v>0</v>
      </c>
      <c r="B14" s="338"/>
      <c r="C14" s="338"/>
      <c r="D14" s="338"/>
      <c r="E14" s="338"/>
      <c r="F14" s="338"/>
      <c r="G14" s="339"/>
      <c r="I14" s="105"/>
      <c r="O14" s="106"/>
    </row>
    <row r="15" spans="1:15" x14ac:dyDescent="0.25">
      <c r="A15" s="340"/>
      <c r="B15" s="330"/>
      <c r="C15" s="330"/>
      <c r="D15" s="330"/>
      <c r="E15" s="330"/>
      <c r="F15" s="330"/>
      <c r="G15" s="341"/>
      <c r="I15" s="107" t="s">
        <v>77</v>
      </c>
      <c r="J15" s="178" t="s">
        <v>36</v>
      </c>
      <c r="K15" s="108" t="s">
        <v>85</v>
      </c>
      <c r="L15" s="108" t="s">
        <v>86</v>
      </c>
      <c r="M15" s="108" t="s">
        <v>5</v>
      </c>
      <c r="N15" s="108" t="s">
        <v>87</v>
      </c>
      <c r="O15" s="109" t="s">
        <v>56</v>
      </c>
    </row>
    <row r="16" spans="1:15" x14ac:dyDescent="0.25">
      <c r="A16" s="342" t="s">
        <v>83</v>
      </c>
      <c r="B16" s="343"/>
      <c r="C16" s="123" t="s">
        <v>126</v>
      </c>
      <c r="D16" s="123"/>
      <c r="E16" s="124"/>
      <c r="F16" s="125" t="s">
        <v>84</v>
      </c>
      <c r="G16" s="126" t="s">
        <v>144</v>
      </c>
      <c r="I16" s="110">
        <v>1</v>
      </c>
      <c r="J16" s="221">
        <v>45202</v>
      </c>
      <c r="K16" s="145" t="s">
        <v>140</v>
      </c>
      <c r="L16" s="111" t="s">
        <v>134</v>
      </c>
      <c r="M16" s="167" t="s">
        <v>135</v>
      </c>
      <c r="N16" s="108" t="s">
        <v>136</v>
      </c>
      <c r="O16" s="112"/>
    </row>
    <row r="17" spans="1:15" x14ac:dyDescent="0.25">
      <c r="A17" s="105"/>
      <c r="G17" s="106"/>
      <c r="I17" s="110">
        <v>2</v>
      </c>
      <c r="J17" s="221">
        <v>45203</v>
      </c>
      <c r="K17" s="108" t="s">
        <v>139</v>
      </c>
      <c r="L17" s="111" t="s">
        <v>134</v>
      </c>
      <c r="M17" s="167" t="s">
        <v>135</v>
      </c>
      <c r="N17" s="108" t="s">
        <v>137</v>
      </c>
      <c r="O17" s="112"/>
    </row>
    <row r="18" spans="1:15" x14ac:dyDescent="0.25">
      <c r="A18" s="107" t="s">
        <v>77</v>
      </c>
      <c r="B18" s="178" t="s">
        <v>36</v>
      </c>
      <c r="C18" s="108" t="s">
        <v>85</v>
      </c>
      <c r="D18" s="108" t="s">
        <v>86</v>
      </c>
      <c r="E18" s="108" t="s">
        <v>5</v>
      </c>
      <c r="F18" s="108" t="s">
        <v>87</v>
      </c>
      <c r="G18" s="109" t="s">
        <v>56</v>
      </c>
      <c r="I18" s="111"/>
      <c r="J18" s="211"/>
      <c r="K18" s="102"/>
      <c r="L18" s="102"/>
      <c r="M18" s="102"/>
      <c r="N18" s="102"/>
      <c r="O18" s="102"/>
    </row>
    <row r="19" spans="1:15" x14ac:dyDescent="0.25">
      <c r="A19" s="107">
        <v>1</v>
      </c>
      <c r="B19" s="221">
        <v>45937</v>
      </c>
      <c r="C19" s="145" t="s">
        <v>218</v>
      </c>
      <c r="D19" s="111" t="s">
        <v>134</v>
      </c>
      <c r="E19" s="215" t="s">
        <v>135</v>
      </c>
      <c r="F19" s="108" t="s">
        <v>145</v>
      </c>
      <c r="G19" s="109">
        <v>40</v>
      </c>
      <c r="I19" s="334"/>
      <c r="J19" s="335"/>
      <c r="K19" s="335"/>
      <c r="L19" s="335"/>
      <c r="M19" s="336"/>
      <c r="N19" s="209" t="s">
        <v>23</v>
      </c>
      <c r="O19" s="210"/>
    </row>
    <row r="20" spans="1:15" ht="30" x14ac:dyDescent="0.25">
      <c r="A20" s="107">
        <v>2</v>
      </c>
      <c r="B20" s="221">
        <v>45938</v>
      </c>
      <c r="C20" s="145" t="s">
        <v>211</v>
      </c>
      <c r="D20" s="108" t="s">
        <v>134</v>
      </c>
      <c r="E20" s="213" t="s">
        <v>135</v>
      </c>
      <c r="F20" s="108" t="s">
        <v>145</v>
      </c>
      <c r="G20" s="109">
        <v>120</v>
      </c>
      <c r="I20" s="105"/>
      <c r="O20" s="106"/>
    </row>
    <row r="21" spans="1:15" x14ac:dyDescent="0.25">
      <c r="A21" s="107">
        <v>3</v>
      </c>
      <c r="B21" s="221">
        <v>45939</v>
      </c>
      <c r="C21" s="145"/>
      <c r="D21" s="108" t="s">
        <v>134</v>
      </c>
      <c r="E21" s="213" t="s">
        <v>135</v>
      </c>
      <c r="F21" s="108" t="s">
        <v>145</v>
      </c>
      <c r="G21" s="109">
        <v>40</v>
      </c>
      <c r="I21" s="113"/>
      <c r="J21" s="179"/>
      <c r="K21" s="114"/>
      <c r="L21" s="114"/>
      <c r="M21" s="114"/>
      <c r="N21" s="114"/>
      <c r="O21" s="115"/>
    </row>
    <row r="22" spans="1:15" x14ac:dyDescent="0.25">
      <c r="A22" s="344"/>
      <c r="B22" s="345"/>
      <c r="C22" s="345"/>
      <c r="D22" s="345"/>
      <c r="E22" s="345"/>
      <c r="F22" s="111" t="s">
        <v>23</v>
      </c>
      <c r="G22" s="112">
        <f>SUM(G19:G21)</f>
        <v>200</v>
      </c>
    </row>
    <row r="23" spans="1:15" ht="15.75" thickBot="1" x14ac:dyDescent="0.3">
      <c r="A23" s="334"/>
      <c r="B23" s="335"/>
      <c r="C23" s="335"/>
      <c r="D23" s="335"/>
      <c r="E23" s="335"/>
      <c r="G23" s="106"/>
    </row>
    <row r="24" spans="1:15" x14ac:dyDescent="0.25">
      <c r="A24" s="113"/>
      <c r="B24" s="179"/>
      <c r="C24" s="114"/>
      <c r="D24" s="114"/>
      <c r="E24" s="114"/>
      <c r="F24" s="114"/>
      <c r="G24" s="115"/>
      <c r="I24" s="337" t="s">
        <v>0</v>
      </c>
      <c r="J24" s="338"/>
      <c r="K24" s="338"/>
      <c r="L24" s="338"/>
      <c r="M24" s="338"/>
      <c r="N24" s="338"/>
      <c r="O24" s="339"/>
    </row>
    <row r="25" spans="1:15" x14ac:dyDescent="0.25">
      <c r="A25" s="116" t="s">
        <v>78</v>
      </c>
      <c r="B25" s="180"/>
      <c r="C25" s="47"/>
      <c r="D25" s="47" t="s">
        <v>79</v>
      </c>
      <c r="E25" s="47"/>
      <c r="F25" s="47" t="s">
        <v>80</v>
      </c>
      <c r="G25" s="117"/>
      <c r="I25" s="340" t="s">
        <v>128</v>
      </c>
      <c r="J25" s="330"/>
      <c r="K25" s="330"/>
      <c r="L25" s="330"/>
      <c r="M25" s="330"/>
      <c r="N25" s="330"/>
      <c r="O25" s="341"/>
    </row>
    <row r="26" spans="1:15" ht="15.75" thickBot="1" x14ac:dyDescent="0.3">
      <c r="A26" s="127" t="s">
        <v>30</v>
      </c>
      <c r="B26" s="191"/>
      <c r="C26" s="128"/>
      <c r="D26" s="128" t="s">
        <v>81</v>
      </c>
      <c r="E26" s="129"/>
      <c r="F26" s="128" t="s">
        <v>82</v>
      </c>
      <c r="G26" s="130"/>
      <c r="I26" s="342" t="s">
        <v>83</v>
      </c>
      <c r="J26" s="343"/>
      <c r="K26" s="123" t="s">
        <v>124</v>
      </c>
      <c r="L26" s="123"/>
      <c r="M26" s="124"/>
      <c r="N26" s="125" t="s">
        <v>84</v>
      </c>
      <c r="O26" s="126" t="s">
        <v>121</v>
      </c>
    </row>
    <row r="27" spans="1:15" ht="15.75" thickBot="1" x14ac:dyDescent="0.3">
      <c r="I27" s="105"/>
      <c r="O27" s="106"/>
    </row>
    <row r="28" spans="1:15" x14ac:dyDescent="0.25">
      <c r="A28" s="337" t="s">
        <v>0</v>
      </c>
      <c r="B28" s="338"/>
      <c r="C28" s="338"/>
      <c r="D28" s="338"/>
      <c r="E28" s="338"/>
      <c r="F28" s="338"/>
      <c r="G28" s="339"/>
      <c r="H28" s="197" t="s">
        <v>127</v>
      </c>
      <c r="I28" s="107" t="s">
        <v>77</v>
      </c>
      <c r="J28" s="178" t="s">
        <v>36</v>
      </c>
      <c r="K28" s="108" t="s">
        <v>85</v>
      </c>
      <c r="L28" s="108" t="s">
        <v>86</v>
      </c>
      <c r="M28" s="108" t="s">
        <v>5</v>
      </c>
      <c r="N28" s="108" t="s">
        <v>87</v>
      </c>
      <c r="O28" s="109" t="s">
        <v>56</v>
      </c>
    </row>
    <row r="29" spans="1:15" x14ac:dyDescent="0.25">
      <c r="A29" s="340"/>
      <c r="B29" s="330"/>
      <c r="C29" s="330"/>
      <c r="D29" s="330"/>
      <c r="E29" s="330"/>
      <c r="F29" s="330"/>
      <c r="G29" s="341"/>
      <c r="I29" s="110">
        <v>1</v>
      </c>
      <c r="J29" s="147"/>
      <c r="K29" s="145"/>
      <c r="L29" s="111"/>
      <c r="M29" s="196"/>
      <c r="N29" s="108"/>
      <c r="O29" s="112"/>
    </row>
    <row r="30" spans="1:15" x14ac:dyDescent="0.25">
      <c r="A30" s="342" t="s">
        <v>83</v>
      </c>
      <c r="B30" s="343"/>
      <c r="C30" s="123" t="s">
        <v>126</v>
      </c>
      <c r="D30" s="123"/>
      <c r="E30" s="124"/>
      <c r="F30" s="125" t="s">
        <v>84</v>
      </c>
      <c r="G30" s="126" t="s">
        <v>117</v>
      </c>
      <c r="I30" s="110">
        <v>2</v>
      </c>
      <c r="J30" s="147"/>
      <c r="K30" s="108"/>
      <c r="L30" s="111"/>
      <c r="M30" s="196"/>
      <c r="N30" s="108"/>
      <c r="O30" s="112"/>
    </row>
    <row r="31" spans="1:15" x14ac:dyDescent="0.25">
      <c r="A31" s="105"/>
      <c r="G31" s="106"/>
      <c r="I31" s="110"/>
      <c r="J31" s="147"/>
      <c r="K31" s="145"/>
      <c r="L31" s="111"/>
      <c r="M31" s="196"/>
      <c r="N31" s="108"/>
      <c r="O31" s="112"/>
    </row>
    <row r="32" spans="1:15" x14ac:dyDescent="0.25">
      <c r="A32" s="107" t="s">
        <v>77</v>
      </c>
      <c r="B32" s="178" t="s">
        <v>36</v>
      </c>
      <c r="C32" s="108" t="s">
        <v>85</v>
      </c>
      <c r="D32" s="108" t="s">
        <v>86</v>
      </c>
      <c r="E32" s="108" t="s">
        <v>5</v>
      </c>
      <c r="F32" s="108" t="s">
        <v>87</v>
      </c>
      <c r="G32" s="109" t="s">
        <v>56</v>
      </c>
      <c r="I32" s="110"/>
      <c r="J32" s="214"/>
      <c r="K32" s="215"/>
      <c r="L32" s="215"/>
      <c r="M32" s="196"/>
      <c r="N32" s="213"/>
      <c r="O32" s="216"/>
    </row>
    <row r="33" spans="1:15" x14ac:dyDescent="0.25">
      <c r="A33" s="107"/>
      <c r="B33" s="221"/>
      <c r="C33" s="145"/>
      <c r="D33" s="108" t="s">
        <v>134</v>
      </c>
      <c r="E33" s="108" t="s">
        <v>135</v>
      </c>
      <c r="F33" s="108" t="s">
        <v>136</v>
      </c>
      <c r="G33" s="109"/>
      <c r="I33" s="110"/>
      <c r="J33" s="211"/>
      <c r="K33" s="102"/>
      <c r="L33" s="102"/>
      <c r="M33" s="102"/>
      <c r="N33" s="102"/>
      <c r="O33" s="102"/>
    </row>
    <row r="34" spans="1:15" x14ac:dyDescent="0.25">
      <c r="A34" s="110">
        <v>1</v>
      </c>
      <c r="B34" s="221"/>
      <c r="C34" s="145"/>
      <c r="D34" s="111" t="s">
        <v>134</v>
      </c>
      <c r="E34" s="167" t="s">
        <v>135</v>
      </c>
      <c r="F34" s="108" t="s">
        <v>138</v>
      </c>
      <c r="G34" s="112"/>
      <c r="I34" s="110"/>
      <c r="J34" s="147"/>
      <c r="K34" s="111"/>
      <c r="L34" s="111"/>
      <c r="M34" s="111"/>
      <c r="N34" s="111" t="s">
        <v>23</v>
      </c>
      <c r="O34" s="112">
        <f>SUM(O29:O32)</f>
        <v>0</v>
      </c>
    </row>
    <row r="35" spans="1:15" x14ac:dyDescent="0.25">
      <c r="A35" s="110">
        <v>2</v>
      </c>
      <c r="B35" s="221"/>
      <c r="C35" s="145"/>
      <c r="D35" s="111" t="s">
        <v>134</v>
      </c>
      <c r="E35" s="167" t="s">
        <v>135</v>
      </c>
      <c r="F35" s="108" t="s">
        <v>136</v>
      </c>
      <c r="G35" s="112"/>
      <c r="I35" s="105"/>
      <c r="O35" s="106"/>
    </row>
    <row r="36" spans="1:15" x14ac:dyDescent="0.25">
      <c r="A36" s="110">
        <v>4</v>
      </c>
      <c r="B36" s="221"/>
      <c r="C36" s="145"/>
      <c r="D36" s="111" t="s">
        <v>134</v>
      </c>
      <c r="E36" s="167" t="s">
        <v>135</v>
      </c>
      <c r="F36" s="108" t="s">
        <v>136</v>
      </c>
      <c r="G36" s="112"/>
      <c r="I36" s="113"/>
      <c r="J36" s="179"/>
      <c r="K36" s="114"/>
      <c r="L36" s="114"/>
      <c r="M36" s="114"/>
      <c r="N36" s="114"/>
      <c r="O36" s="115"/>
    </row>
    <row r="37" spans="1:15" x14ac:dyDescent="0.25">
      <c r="A37" s="346"/>
      <c r="B37" s="347"/>
      <c r="C37" s="347"/>
      <c r="D37" s="347"/>
      <c r="E37" s="348"/>
      <c r="F37" s="111" t="s">
        <v>23</v>
      </c>
      <c r="G37" s="112">
        <f>SUM(G33:G36)</f>
        <v>0</v>
      </c>
      <c r="I37" s="116" t="s">
        <v>78</v>
      </c>
      <c r="J37" s="180"/>
      <c r="K37" s="47"/>
      <c r="L37" s="47" t="s">
        <v>79</v>
      </c>
      <c r="M37" s="47"/>
      <c r="N37" s="47" t="s">
        <v>80</v>
      </c>
      <c r="O37" s="117"/>
    </row>
    <row r="38" spans="1:15" ht="15.75" thickBot="1" x14ac:dyDescent="0.3">
      <c r="A38" s="105"/>
      <c r="G38" s="106"/>
      <c r="I38" s="127" t="s">
        <v>30</v>
      </c>
      <c r="J38" s="191"/>
      <c r="K38" s="128"/>
      <c r="L38" s="128" t="s">
        <v>81</v>
      </c>
      <c r="M38" s="129"/>
      <c r="N38" s="128" t="s">
        <v>82</v>
      </c>
      <c r="O38" s="130"/>
    </row>
    <row r="39" spans="1:15" x14ac:dyDescent="0.25">
      <c r="A39" s="113"/>
      <c r="B39" s="179"/>
      <c r="D39" s="114"/>
      <c r="E39" s="114"/>
      <c r="F39" s="114"/>
      <c r="G39" s="115"/>
    </row>
    <row r="40" spans="1:15" x14ac:dyDescent="0.25">
      <c r="A40" s="116" t="s">
        <v>78</v>
      </c>
      <c r="B40" s="180"/>
      <c r="C40" s="47"/>
      <c r="D40" s="47" t="s">
        <v>79</v>
      </c>
      <c r="E40" s="47"/>
      <c r="F40" s="47" t="s">
        <v>80</v>
      </c>
      <c r="G40" s="117"/>
    </row>
    <row r="41" spans="1:15" ht="15.75" thickBot="1" x14ac:dyDescent="0.3">
      <c r="A41" s="127" t="s">
        <v>30</v>
      </c>
      <c r="B41" s="191"/>
      <c r="C41" s="128"/>
      <c r="D41" s="128" t="s">
        <v>81</v>
      </c>
      <c r="E41" s="129"/>
      <c r="F41" s="128" t="s">
        <v>82</v>
      </c>
      <c r="G41" s="130"/>
    </row>
    <row r="42" spans="1:15" ht="15.75" thickBot="1" x14ac:dyDescent="0.3"/>
    <row r="43" spans="1:15" x14ac:dyDescent="0.25">
      <c r="A43" s="337" t="s">
        <v>0</v>
      </c>
      <c r="B43" s="338"/>
      <c r="C43" s="338"/>
      <c r="D43" s="338"/>
      <c r="E43" s="338"/>
      <c r="F43" s="338"/>
      <c r="G43" s="339"/>
    </row>
    <row r="44" spans="1:15" x14ac:dyDescent="0.25">
      <c r="A44" s="340"/>
      <c r="B44" s="330"/>
      <c r="C44" s="330"/>
      <c r="D44" s="330"/>
      <c r="E44" s="330"/>
      <c r="F44" s="330"/>
      <c r="G44" s="341"/>
    </row>
    <row r="45" spans="1:15" x14ac:dyDescent="0.25">
      <c r="A45" s="342" t="s">
        <v>83</v>
      </c>
      <c r="B45" s="343"/>
      <c r="C45" s="123" t="s">
        <v>124</v>
      </c>
      <c r="D45" s="123"/>
      <c r="E45" s="124"/>
      <c r="F45" s="125" t="s">
        <v>84</v>
      </c>
      <c r="G45" s="126" t="s">
        <v>121</v>
      </c>
    </row>
    <row r="46" spans="1:15" x14ac:dyDescent="0.25">
      <c r="A46" s="105"/>
      <c r="G46" s="106"/>
    </row>
    <row r="47" spans="1:15" x14ac:dyDescent="0.25">
      <c r="A47" s="107" t="s">
        <v>77</v>
      </c>
      <c r="B47" s="178" t="s">
        <v>36</v>
      </c>
      <c r="C47" s="108" t="s">
        <v>85</v>
      </c>
      <c r="D47" s="108" t="s">
        <v>86</v>
      </c>
      <c r="E47" s="108" t="s">
        <v>5</v>
      </c>
      <c r="F47" s="108" t="s">
        <v>87</v>
      </c>
      <c r="G47" s="109" t="s">
        <v>56</v>
      </c>
    </row>
    <row r="48" spans="1:15" x14ac:dyDescent="0.25">
      <c r="A48" s="107">
        <v>1</v>
      </c>
      <c r="B48" s="221"/>
      <c r="C48" s="145"/>
      <c r="D48" s="111" t="s">
        <v>134</v>
      </c>
      <c r="E48" s="196" t="s">
        <v>135</v>
      </c>
      <c r="F48" s="108" t="s">
        <v>145</v>
      </c>
      <c r="G48" s="112"/>
    </row>
    <row r="49" spans="1:7" x14ac:dyDescent="0.25">
      <c r="A49" s="110"/>
      <c r="B49" s="221"/>
      <c r="C49" s="108"/>
      <c r="D49" s="111"/>
      <c r="E49" s="167"/>
      <c r="F49" s="108"/>
      <c r="G49" s="112"/>
    </row>
    <row r="50" spans="1:7" x14ac:dyDescent="0.25">
      <c r="A50" s="111"/>
      <c r="B50" s="211"/>
      <c r="C50" s="102"/>
      <c r="D50" s="102"/>
      <c r="E50" s="102"/>
      <c r="F50" s="102"/>
      <c r="G50" s="102"/>
    </row>
    <row r="51" spans="1:7" x14ac:dyDescent="0.25">
      <c r="A51" s="334"/>
      <c r="B51" s="335"/>
      <c r="C51" s="335"/>
      <c r="D51" s="335"/>
      <c r="E51" s="336"/>
      <c r="F51" s="209" t="s">
        <v>23</v>
      </c>
      <c r="G51" s="210">
        <f>SUM(G48:G49)</f>
        <v>0</v>
      </c>
    </row>
    <row r="52" spans="1:7" x14ac:dyDescent="0.25">
      <c r="A52" s="105"/>
      <c r="G52" s="106"/>
    </row>
    <row r="53" spans="1:7" x14ac:dyDescent="0.25">
      <c r="A53" s="113"/>
      <c r="B53" s="179"/>
      <c r="C53" s="114"/>
      <c r="D53" s="114"/>
      <c r="E53" s="114"/>
      <c r="F53" s="114"/>
      <c r="G53" s="115"/>
    </row>
    <row r="54" spans="1:7" x14ac:dyDescent="0.25">
      <c r="A54" s="116" t="s">
        <v>78</v>
      </c>
      <c r="B54" s="180"/>
      <c r="C54" s="47"/>
      <c r="D54" s="47" t="s">
        <v>79</v>
      </c>
      <c r="E54" s="47"/>
      <c r="F54" s="47" t="s">
        <v>80</v>
      </c>
      <c r="G54" s="117"/>
    </row>
    <row r="55" spans="1:7" ht="15.75" thickBot="1" x14ac:dyDescent="0.3">
      <c r="A55" s="127" t="s">
        <v>30</v>
      </c>
      <c r="B55" s="191"/>
      <c r="C55" s="128"/>
      <c r="D55" s="128" t="s">
        <v>81</v>
      </c>
      <c r="E55" s="129"/>
      <c r="F55" s="128" t="s">
        <v>82</v>
      </c>
      <c r="G55" s="130"/>
    </row>
    <row r="56" spans="1:7" ht="15.75" thickBot="1" x14ac:dyDescent="0.3"/>
    <row r="57" spans="1:7" x14ac:dyDescent="0.25">
      <c r="A57" s="337" t="s">
        <v>0</v>
      </c>
      <c r="B57" s="338"/>
      <c r="C57" s="338"/>
      <c r="D57" s="338"/>
      <c r="E57" s="338"/>
      <c r="F57" s="338"/>
      <c r="G57" s="339"/>
    </row>
    <row r="58" spans="1:7" x14ac:dyDescent="0.25">
      <c r="A58" s="340" t="s">
        <v>53</v>
      </c>
      <c r="B58" s="330"/>
      <c r="C58" s="330"/>
      <c r="D58" s="330"/>
      <c r="E58" s="330"/>
      <c r="F58" s="330"/>
      <c r="G58" s="341"/>
    </row>
    <row r="59" spans="1:7" x14ac:dyDescent="0.25">
      <c r="A59" s="342" t="s">
        <v>83</v>
      </c>
      <c r="B59" s="343"/>
      <c r="C59" s="123" t="s">
        <v>126</v>
      </c>
      <c r="D59" s="123"/>
      <c r="E59" s="124"/>
      <c r="F59" s="125" t="s">
        <v>84</v>
      </c>
      <c r="G59" s="126" t="s">
        <v>117</v>
      </c>
    </row>
    <row r="60" spans="1:7" x14ac:dyDescent="0.25">
      <c r="A60" s="105"/>
      <c r="G60" s="106"/>
    </row>
    <row r="61" spans="1:7" x14ac:dyDescent="0.25">
      <c r="A61" s="107" t="s">
        <v>77</v>
      </c>
      <c r="B61" s="178" t="s">
        <v>36</v>
      </c>
      <c r="C61" s="108" t="s">
        <v>85</v>
      </c>
      <c r="D61" s="108" t="s">
        <v>86</v>
      </c>
      <c r="E61" s="108" t="s">
        <v>5</v>
      </c>
      <c r="F61" s="108" t="s">
        <v>87</v>
      </c>
      <c r="G61" s="109" t="s">
        <v>56</v>
      </c>
    </row>
    <row r="62" spans="1:7" ht="15.75" x14ac:dyDescent="0.25">
      <c r="A62" s="107">
        <v>1</v>
      </c>
      <c r="B62" s="31"/>
      <c r="C62" s="145"/>
      <c r="D62" s="111" t="s">
        <v>141</v>
      </c>
      <c r="E62" s="167" t="s">
        <v>147</v>
      </c>
      <c r="F62" s="108" t="s">
        <v>137</v>
      </c>
      <c r="G62" s="112">
        <v>40</v>
      </c>
    </row>
    <row r="63" spans="1:7" ht="15.75" x14ac:dyDescent="0.25">
      <c r="A63" s="110">
        <v>2</v>
      </c>
      <c r="B63" s="31"/>
      <c r="C63" s="111"/>
      <c r="D63" s="208" t="s">
        <v>134</v>
      </c>
      <c r="E63" s="102" t="s">
        <v>147</v>
      </c>
      <c r="F63" s="208" t="s">
        <v>137</v>
      </c>
      <c r="G63" s="208">
        <v>200</v>
      </c>
    </row>
    <row r="64" spans="1:7" x14ac:dyDescent="0.25">
      <c r="A64" s="110"/>
      <c r="B64" s="147"/>
      <c r="C64" s="111"/>
      <c r="D64" s="111"/>
      <c r="E64" s="111"/>
      <c r="F64" s="111" t="s">
        <v>23</v>
      </c>
      <c r="G64" s="112">
        <f>SUM(G62:G63)</f>
        <v>240</v>
      </c>
    </row>
    <row r="65" spans="1:7" x14ac:dyDescent="0.25">
      <c r="A65" s="105"/>
      <c r="G65" s="106"/>
    </row>
    <row r="66" spans="1:7" x14ac:dyDescent="0.25">
      <c r="A66" s="113"/>
      <c r="B66" s="179"/>
      <c r="C66" s="114"/>
      <c r="D66" s="114"/>
      <c r="E66" s="114"/>
      <c r="F66" s="114"/>
      <c r="G66" s="115"/>
    </row>
    <row r="67" spans="1:7" x14ac:dyDescent="0.25">
      <c r="A67" s="116" t="s">
        <v>78</v>
      </c>
      <c r="B67" s="180"/>
      <c r="C67" s="47"/>
      <c r="D67" s="47" t="s">
        <v>79</v>
      </c>
      <c r="E67" s="47"/>
      <c r="F67" s="47" t="s">
        <v>80</v>
      </c>
      <c r="G67" s="117"/>
    </row>
    <row r="68" spans="1:7" ht="15.75" thickBot="1" x14ac:dyDescent="0.3">
      <c r="A68" s="127" t="s">
        <v>30</v>
      </c>
      <c r="B68" s="191"/>
      <c r="C68" s="128"/>
      <c r="D68" s="128" t="s">
        <v>81</v>
      </c>
      <c r="E68" s="129"/>
      <c r="F68" s="128" t="s">
        <v>82</v>
      </c>
      <c r="G68" s="130"/>
    </row>
    <row r="69" spans="1:7" ht="15.75" thickBot="1" x14ac:dyDescent="0.3"/>
    <row r="70" spans="1:7" x14ac:dyDescent="0.25">
      <c r="A70" s="337" t="s">
        <v>0</v>
      </c>
      <c r="B70" s="338"/>
      <c r="C70" s="338"/>
      <c r="D70" s="338"/>
      <c r="E70" s="338"/>
      <c r="F70" s="338"/>
      <c r="G70" s="339"/>
    </row>
    <row r="71" spans="1:7" x14ac:dyDescent="0.25">
      <c r="A71" s="340" t="s">
        <v>128</v>
      </c>
      <c r="B71" s="330"/>
      <c r="C71" s="330"/>
      <c r="D71" s="330"/>
      <c r="E71" s="330"/>
      <c r="F71" s="330"/>
      <c r="G71" s="341"/>
    </row>
    <row r="72" spans="1:7" x14ac:dyDescent="0.25">
      <c r="A72" s="342" t="s">
        <v>83</v>
      </c>
      <c r="B72" s="343"/>
      <c r="C72" s="123" t="s">
        <v>151</v>
      </c>
      <c r="D72" s="123"/>
      <c r="E72" s="124"/>
      <c r="F72" s="125" t="s">
        <v>84</v>
      </c>
      <c r="G72" s="126" t="s">
        <v>152</v>
      </c>
    </row>
    <row r="73" spans="1:7" x14ac:dyDescent="0.25">
      <c r="A73" s="105"/>
      <c r="G73" s="106"/>
    </row>
    <row r="74" spans="1:7" x14ac:dyDescent="0.25">
      <c r="A74" s="107" t="s">
        <v>77</v>
      </c>
      <c r="B74" s="178" t="s">
        <v>36</v>
      </c>
      <c r="C74" s="108" t="s">
        <v>85</v>
      </c>
      <c r="D74" s="108" t="s">
        <v>86</v>
      </c>
      <c r="E74" s="108" t="s">
        <v>5</v>
      </c>
      <c r="F74" s="108" t="s">
        <v>87</v>
      </c>
      <c r="G74" s="109" t="s">
        <v>56</v>
      </c>
    </row>
    <row r="75" spans="1:7" x14ac:dyDescent="0.25">
      <c r="A75" s="110">
        <v>1</v>
      </c>
      <c r="B75" s="147">
        <v>45937</v>
      </c>
      <c r="C75" s="196" t="s">
        <v>134</v>
      </c>
      <c r="D75" s="111" t="s">
        <v>141</v>
      </c>
      <c r="E75" s="196" t="s">
        <v>134</v>
      </c>
      <c r="F75" s="108" t="s">
        <v>137</v>
      </c>
      <c r="G75" s="112">
        <v>50</v>
      </c>
    </row>
    <row r="76" spans="1:7" ht="45" x14ac:dyDescent="0.25">
      <c r="A76" s="110">
        <v>2</v>
      </c>
      <c r="B76" s="147">
        <v>45939</v>
      </c>
      <c r="C76" s="145" t="s">
        <v>134</v>
      </c>
      <c r="D76" s="160" t="s">
        <v>224</v>
      </c>
      <c r="E76" s="196" t="s">
        <v>134</v>
      </c>
      <c r="F76" s="108" t="s">
        <v>137</v>
      </c>
      <c r="G76" s="112">
        <v>200</v>
      </c>
    </row>
    <row r="77" spans="1:7" ht="30" x14ac:dyDescent="0.25">
      <c r="A77" s="110">
        <v>3</v>
      </c>
      <c r="B77" s="147">
        <v>45939</v>
      </c>
      <c r="C77" s="145" t="s">
        <v>224</v>
      </c>
      <c r="D77" s="111" t="s">
        <v>141</v>
      </c>
      <c r="E77" s="196" t="s">
        <v>134</v>
      </c>
      <c r="F77" s="108" t="s">
        <v>137</v>
      </c>
      <c r="G77" s="112">
        <v>50</v>
      </c>
    </row>
    <row r="78" spans="1:7" x14ac:dyDescent="0.25">
      <c r="A78" s="349"/>
      <c r="B78" s="350"/>
      <c r="C78" s="350"/>
      <c r="D78" s="350"/>
      <c r="E78" s="350"/>
      <c r="F78" s="351"/>
      <c r="G78" s="102"/>
    </row>
    <row r="79" spans="1:7" x14ac:dyDescent="0.25">
      <c r="A79" s="105"/>
      <c r="C79" s="184"/>
      <c r="D79" s="114"/>
      <c r="E79" s="165"/>
      <c r="F79" s="197" t="s">
        <v>143</v>
      </c>
      <c r="G79" s="117">
        <f>SUM(G75:G77)</f>
        <v>300</v>
      </c>
    </row>
    <row r="80" spans="1:7" x14ac:dyDescent="0.25">
      <c r="A80" s="105"/>
      <c r="C80" s="184"/>
      <c r="D80" s="114"/>
      <c r="E80" s="165"/>
      <c r="G80" s="106"/>
    </row>
    <row r="81" spans="1:7" x14ac:dyDescent="0.25">
      <c r="A81" s="105"/>
      <c r="C81" s="184"/>
      <c r="D81" s="114"/>
      <c r="E81" s="165"/>
      <c r="G81" s="106"/>
    </row>
    <row r="82" spans="1:7" x14ac:dyDescent="0.25">
      <c r="A82" s="105"/>
      <c r="C82" s="184"/>
      <c r="D82" s="114"/>
      <c r="E82" s="165"/>
      <c r="G82" s="106"/>
    </row>
    <row r="83" spans="1:7" x14ac:dyDescent="0.25">
      <c r="A83" s="113"/>
      <c r="B83" s="179"/>
      <c r="C83" s="114"/>
      <c r="D83" s="114"/>
      <c r="E83" s="114"/>
      <c r="F83" s="114"/>
      <c r="G83" s="115"/>
    </row>
    <row r="84" spans="1:7" x14ac:dyDescent="0.25">
      <c r="A84" s="116" t="s">
        <v>78</v>
      </c>
      <c r="B84" s="180"/>
      <c r="C84" s="47"/>
      <c r="D84" s="47" t="s">
        <v>79</v>
      </c>
      <c r="E84" s="47"/>
      <c r="F84" s="47" t="s">
        <v>80</v>
      </c>
      <c r="G84" s="117"/>
    </row>
    <row r="85" spans="1:7" ht="15.75" thickBot="1" x14ac:dyDescent="0.3">
      <c r="A85" s="127" t="s">
        <v>30</v>
      </c>
      <c r="B85" s="191"/>
      <c r="C85" s="128"/>
      <c r="D85" s="128" t="s">
        <v>81</v>
      </c>
      <c r="E85" s="129"/>
      <c r="F85" s="128" t="s">
        <v>82</v>
      </c>
      <c r="G85" s="130"/>
    </row>
    <row r="87" spans="1:7" ht="15.75" thickBot="1" x14ac:dyDescent="0.3"/>
    <row r="88" spans="1:7" x14ac:dyDescent="0.25">
      <c r="A88" s="337" t="s">
        <v>0</v>
      </c>
      <c r="B88" s="338"/>
      <c r="C88" s="338"/>
      <c r="D88" s="338"/>
      <c r="E88" s="338"/>
      <c r="F88" s="338"/>
      <c r="G88" s="339"/>
    </row>
    <row r="89" spans="1:7" x14ac:dyDescent="0.25">
      <c r="A89" s="340" t="s">
        <v>164</v>
      </c>
      <c r="B89" s="330"/>
      <c r="C89" s="330"/>
      <c r="D89" s="330"/>
      <c r="E89" s="330"/>
      <c r="F89" s="330"/>
      <c r="G89" s="341"/>
    </row>
    <row r="90" spans="1:7" x14ac:dyDescent="0.25">
      <c r="A90" s="342" t="s">
        <v>83</v>
      </c>
      <c r="B90" s="343"/>
      <c r="C90" s="123" t="s">
        <v>213</v>
      </c>
      <c r="D90" s="123"/>
      <c r="E90" s="124"/>
      <c r="F90" s="125" t="s">
        <v>84</v>
      </c>
      <c r="G90" s="126" t="s">
        <v>117</v>
      </c>
    </row>
    <row r="91" spans="1:7" x14ac:dyDescent="0.25">
      <c r="A91" s="105"/>
      <c r="G91" s="106"/>
    </row>
    <row r="92" spans="1:7" x14ac:dyDescent="0.25">
      <c r="A92" s="107" t="s">
        <v>77</v>
      </c>
      <c r="B92" s="178" t="s">
        <v>36</v>
      </c>
      <c r="C92" s="108" t="s">
        <v>85</v>
      </c>
      <c r="D92" s="108" t="s">
        <v>86</v>
      </c>
      <c r="E92" s="108" t="s">
        <v>5</v>
      </c>
      <c r="F92" s="108" t="s">
        <v>87</v>
      </c>
      <c r="G92" s="109" t="s">
        <v>56</v>
      </c>
    </row>
    <row r="93" spans="1:7" ht="15.75" x14ac:dyDescent="0.25">
      <c r="A93" s="107">
        <v>1</v>
      </c>
      <c r="B93" s="31">
        <v>45935</v>
      </c>
      <c r="C93" s="145" t="s">
        <v>134</v>
      </c>
      <c r="D93" s="111" t="s">
        <v>141</v>
      </c>
      <c r="E93" s="167" t="s">
        <v>147</v>
      </c>
      <c r="F93" s="108" t="s">
        <v>137</v>
      </c>
      <c r="G93" s="112">
        <v>180</v>
      </c>
    </row>
    <row r="94" spans="1:7" ht="15.75" x14ac:dyDescent="0.25">
      <c r="A94" s="110">
        <v>2</v>
      </c>
      <c r="B94" s="31">
        <v>45935</v>
      </c>
      <c r="C94" s="111" t="s">
        <v>141</v>
      </c>
      <c r="D94" s="208" t="s">
        <v>134</v>
      </c>
      <c r="E94" s="102" t="s">
        <v>147</v>
      </c>
      <c r="F94" s="208" t="s">
        <v>137</v>
      </c>
      <c r="G94" s="208">
        <v>70</v>
      </c>
    </row>
    <row r="95" spans="1:7" x14ac:dyDescent="0.25">
      <c r="A95" s="110"/>
      <c r="B95" s="147"/>
      <c r="C95" s="111"/>
      <c r="D95" s="111"/>
      <c r="E95" s="111"/>
      <c r="F95" s="111" t="s">
        <v>23</v>
      </c>
      <c r="G95" s="112">
        <f>SUM(G93:G94)</f>
        <v>250</v>
      </c>
    </row>
    <row r="96" spans="1:7" x14ac:dyDescent="0.25">
      <c r="A96" s="105"/>
      <c r="G96" s="106"/>
    </row>
    <row r="97" spans="1:7" x14ac:dyDescent="0.25">
      <c r="A97" s="113"/>
      <c r="B97" s="179"/>
      <c r="C97" s="114"/>
      <c r="D97" s="114"/>
      <c r="E97" s="114"/>
      <c r="F97" s="114"/>
      <c r="G97" s="115"/>
    </row>
    <row r="98" spans="1:7" x14ac:dyDescent="0.25">
      <c r="A98" s="116" t="s">
        <v>78</v>
      </c>
      <c r="B98" s="180"/>
      <c r="C98" s="47"/>
      <c r="D98" s="47" t="s">
        <v>79</v>
      </c>
      <c r="E98" s="47"/>
      <c r="F98" s="47" t="s">
        <v>80</v>
      </c>
      <c r="G98" s="117"/>
    </row>
    <row r="99" spans="1:7" ht="15.75" thickBot="1" x14ac:dyDescent="0.3">
      <c r="A99" s="127" t="s">
        <v>30</v>
      </c>
      <c r="B99" s="191"/>
      <c r="C99" s="128"/>
      <c r="D99" s="128" t="s">
        <v>81</v>
      </c>
      <c r="E99" s="129"/>
      <c r="F99" s="128" t="s">
        <v>82</v>
      </c>
      <c r="G99" s="130"/>
    </row>
  </sheetData>
  <mergeCells count="35">
    <mergeCell ref="A88:G88"/>
    <mergeCell ref="A89:G89"/>
    <mergeCell ref="A90:B90"/>
    <mergeCell ref="A37:E37"/>
    <mergeCell ref="A78:F78"/>
    <mergeCell ref="A72:B72"/>
    <mergeCell ref="A71:G71"/>
    <mergeCell ref="A43:G43"/>
    <mergeCell ref="A44:G44"/>
    <mergeCell ref="A45:B45"/>
    <mergeCell ref="A51:E51"/>
    <mergeCell ref="A70:G70"/>
    <mergeCell ref="A59:B59"/>
    <mergeCell ref="A58:G58"/>
    <mergeCell ref="A57:G57"/>
    <mergeCell ref="I13:J13"/>
    <mergeCell ref="I1:O1"/>
    <mergeCell ref="I2:O2"/>
    <mergeCell ref="I3:J3"/>
    <mergeCell ref="A14:G14"/>
    <mergeCell ref="I11:O11"/>
    <mergeCell ref="I12:O12"/>
    <mergeCell ref="A30:B30"/>
    <mergeCell ref="A29:G29"/>
    <mergeCell ref="A28:G28"/>
    <mergeCell ref="A1:G1"/>
    <mergeCell ref="A2:G2"/>
    <mergeCell ref="A3:B3"/>
    <mergeCell ref="A16:B16"/>
    <mergeCell ref="A15:G15"/>
    <mergeCell ref="I19:M19"/>
    <mergeCell ref="I24:O24"/>
    <mergeCell ref="I25:O25"/>
    <mergeCell ref="I26:J26"/>
    <mergeCell ref="A22:E23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H14" sqref="H14"/>
    </sheetView>
  </sheetViews>
  <sheetFormatPr defaultRowHeight="15" x14ac:dyDescent="0.25"/>
  <cols>
    <col min="1" max="1" width="13.28515625" customWidth="1"/>
    <col min="3" max="3" width="13.42578125" customWidth="1"/>
    <col min="8" max="8" width="11.42578125" customWidth="1"/>
  </cols>
  <sheetData>
    <row r="1" spans="1:12" x14ac:dyDescent="0.25">
      <c r="A1" s="352" t="s">
        <v>52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x14ac:dyDescent="0.25">
      <c r="A2" s="25"/>
      <c r="B2" s="26"/>
      <c r="C2" s="26"/>
      <c r="D2" s="26"/>
      <c r="E2" s="27"/>
      <c r="F2" s="27"/>
      <c r="G2" s="353" t="s">
        <v>35</v>
      </c>
      <c r="H2" s="354"/>
      <c r="I2" s="354"/>
      <c r="J2" s="354"/>
      <c r="K2" s="355"/>
      <c r="L2" s="24"/>
    </row>
    <row r="3" spans="1:12" ht="21" x14ac:dyDescent="0.25">
      <c r="A3" s="141" t="s">
        <v>36</v>
      </c>
      <c r="B3" s="28" t="s">
        <v>114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168</v>
      </c>
      <c r="E4" s="30">
        <f t="shared" ref="E4:F4" si="0">SUM(E5:E100)</f>
        <v>0</v>
      </c>
      <c r="F4" s="30">
        <f t="shared" si="0"/>
        <v>1450</v>
      </c>
      <c r="G4" s="30"/>
      <c r="H4" s="30">
        <f>SUM(H5:H100)</f>
        <v>250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1700</v>
      </c>
    </row>
    <row r="5" spans="1:12" ht="39" x14ac:dyDescent="0.25">
      <c r="A5" s="31">
        <v>45935</v>
      </c>
      <c r="B5" s="32">
        <v>10510</v>
      </c>
      <c r="C5" s="32" t="s">
        <v>185</v>
      </c>
      <c r="D5" s="33">
        <v>168</v>
      </c>
      <c r="E5" s="33"/>
      <c r="F5" s="33">
        <v>1450</v>
      </c>
      <c r="G5" s="33" t="s">
        <v>213</v>
      </c>
      <c r="H5" s="34">
        <v>250</v>
      </c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52" t="s">
        <v>51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x14ac:dyDescent="0.25">
      <c r="A2" s="25"/>
      <c r="B2" s="26"/>
      <c r="C2" s="26"/>
      <c r="D2" s="26"/>
      <c r="E2" s="27"/>
      <c r="F2" s="27"/>
      <c r="G2" s="353" t="s">
        <v>35</v>
      </c>
      <c r="H2" s="354"/>
      <c r="I2" s="354"/>
      <c r="J2" s="354"/>
      <c r="K2" s="355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N14" sqref="N14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</cols>
  <sheetData>
    <row r="1" spans="1:12" x14ac:dyDescent="0.25">
      <c r="A1" s="352" t="s">
        <v>53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x14ac:dyDescent="0.25">
      <c r="A2" s="25"/>
      <c r="B2" s="26"/>
      <c r="C2" s="26"/>
      <c r="D2" s="26"/>
      <c r="E2" s="27"/>
      <c r="F2" s="27"/>
      <c r="G2" s="353" t="s">
        <v>35</v>
      </c>
      <c r="H2" s="354"/>
      <c r="I2" s="354"/>
      <c r="J2" s="354"/>
      <c r="K2" s="355"/>
      <c r="L2" s="24"/>
    </row>
    <row r="3" spans="1:12" ht="21" x14ac:dyDescent="0.25">
      <c r="A3" s="141" t="s">
        <v>36</v>
      </c>
      <c r="B3" s="28" t="s">
        <v>114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5132</v>
      </c>
      <c r="E4" s="30">
        <f>SUM(E5:E101)</f>
        <v>500</v>
      </c>
      <c r="F4" s="30">
        <f>SUM(F5:F101)</f>
        <v>0</v>
      </c>
      <c r="G4" s="30"/>
      <c r="H4" s="30">
        <f>SUM(H5:H101)</f>
        <v>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500</v>
      </c>
    </row>
    <row r="5" spans="1:12" s="244" customFormat="1" ht="26.25" customHeight="1" x14ac:dyDescent="0.25">
      <c r="A5" s="356">
        <v>45934</v>
      </c>
      <c r="B5" s="243">
        <v>10498</v>
      </c>
      <c r="C5" s="243" t="s">
        <v>186</v>
      </c>
      <c r="D5" s="243">
        <v>2364</v>
      </c>
      <c r="E5" s="359">
        <v>500</v>
      </c>
      <c r="F5" s="243"/>
      <c r="G5" s="362" t="s">
        <v>187</v>
      </c>
      <c r="H5" s="243"/>
      <c r="I5" s="243"/>
      <c r="J5" s="243"/>
      <c r="K5" s="243"/>
      <c r="L5" s="243"/>
    </row>
    <row r="6" spans="1:12" x14ac:dyDescent="0.25">
      <c r="A6" s="357"/>
      <c r="B6" s="247">
        <v>10499</v>
      </c>
      <c r="C6" s="243" t="s">
        <v>186</v>
      </c>
      <c r="D6" s="247">
        <v>8</v>
      </c>
      <c r="E6" s="360"/>
      <c r="F6" s="247"/>
      <c r="G6" s="363"/>
      <c r="H6" s="248"/>
      <c r="I6" s="248"/>
      <c r="J6" s="248"/>
      <c r="K6" s="248"/>
      <c r="L6" s="249"/>
    </row>
    <row r="7" spans="1:12" x14ac:dyDescent="0.25">
      <c r="A7" s="357"/>
      <c r="B7" s="33">
        <v>10495</v>
      </c>
      <c r="C7" s="243" t="s">
        <v>186</v>
      </c>
      <c r="D7" s="33">
        <v>500</v>
      </c>
      <c r="E7" s="360"/>
      <c r="F7" s="33"/>
      <c r="G7" s="363"/>
      <c r="H7" s="34"/>
      <c r="I7" s="34"/>
      <c r="J7" s="34"/>
      <c r="K7" s="34"/>
      <c r="L7" s="35"/>
    </row>
    <row r="8" spans="1:12" ht="35.25" customHeight="1" x14ac:dyDescent="0.25">
      <c r="A8" s="358"/>
      <c r="B8" s="183">
        <v>10511</v>
      </c>
      <c r="C8" s="243" t="s">
        <v>186</v>
      </c>
      <c r="D8" s="33">
        <v>2260</v>
      </c>
      <c r="E8" s="361"/>
      <c r="F8" s="33"/>
      <c r="G8" s="364"/>
      <c r="H8" s="34"/>
      <c r="I8" s="34"/>
      <c r="J8" s="34"/>
      <c r="K8" s="34"/>
      <c r="L8" s="35"/>
    </row>
    <row r="9" spans="1:12" ht="15.75" customHeight="1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customHeight="1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customHeight="1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customHeight="1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customHeight="1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5">
    <mergeCell ref="A1:L1"/>
    <mergeCell ref="G2:K2"/>
    <mergeCell ref="A5:A8"/>
    <mergeCell ref="E5:E8"/>
    <mergeCell ref="G5:G8"/>
  </mergeCells>
  <pageMargins left="0.25" right="0.25" top="0.75" bottom="0.75" header="0.3" footer="0.3"/>
  <pageSetup paperSize="9" scale="7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J10" sqref="J10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65" t="s">
        <v>54</v>
      </c>
      <c r="C1" s="365"/>
      <c r="D1" s="365"/>
      <c r="E1" s="46"/>
    </row>
    <row r="2" spans="1:6" x14ac:dyDescent="0.25">
      <c r="A2" s="45"/>
      <c r="B2" s="365"/>
      <c r="C2" s="365"/>
      <c r="D2" s="365"/>
      <c r="E2" s="46"/>
    </row>
    <row r="3" spans="1:6" x14ac:dyDescent="0.25">
      <c r="A3" s="47"/>
      <c r="B3" s="47"/>
      <c r="C3" s="48" t="s">
        <v>23</v>
      </c>
      <c r="D3" s="48">
        <f>SUM(D5:D38)</f>
        <v>1950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4" customFormat="1" x14ac:dyDescent="0.25">
      <c r="A5" s="250">
        <v>45934</v>
      </c>
      <c r="B5" s="251" t="s">
        <v>169</v>
      </c>
      <c r="C5" s="251" t="s">
        <v>170</v>
      </c>
      <c r="D5" s="251">
        <v>500</v>
      </c>
      <c r="E5" s="246"/>
    </row>
    <row r="6" spans="1:6" ht="32.25" customHeight="1" x14ac:dyDescent="0.25">
      <c r="A6" s="250">
        <v>45935</v>
      </c>
      <c r="B6" s="251" t="s">
        <v>169</v>
      </c>
      <c r="C6" s="251" t="s">
        <v>170</v>
      </c>
      <c r="D6" s="251">
        <v>500</v>
      </c>
      <c r="E6" s="246"/>
    </row>
    <row r="7" spans="1:6" x14ac:dyDescent="0.25">
      <c r="A7" s="311">
        <v>45936</v>
      </c>
      <c r="B7" s="246" t="s">
        <v>169</v>
      </c>
      <c r="C7" s="246" t="s">
        <v>170</v>
      </c>
      <c r="D7" s="246">
        <v>500</v>
      </c>
      <c r="E7" s="252"/>
    </row>
    <row r="8" spans="1:6" s="102" customFormat="1" x14ac:dyDescent="0.25">
      <c r="A8" s="250">
        <v>45937</v>
      </c>
      <c r="B8" s="251" t="s">
        <v>221</v>
      </c>
      <c r="C8" s="251" t="s">
        <v>134</v>
      </c>
      <c r="D8" s="251">
        <v>50</v>
      </c>
      <c r="E8" s="314"/>
    </row>
    <row r="9" spans="1:6" x14ac:dyDescent="0.25">
      <c r="A9" s="312">
        <v>45938</v>
      </c>
      <c r="B9" s="313" t="s">
        <v>169</v>
      </c>
      <c r="C9" s="313" t="s">
        <v>170</v>
      </c>
      <c r="D9" s="245">
        <v>400</v>
      </c>
      <c r="E9" s="245"/>
    </row>
    <row r="10" spans="1:6" x14ac:dyDescent="0.25">
      <c r="A10" s="220"/>
      <c r="B10" s="102"/>
      <c r="C10" s="102"/>
      <c r="D10" s="208"/>
      <c r="E10" s="54"/>
    </row>
    <row r="11" spans="1:6" x14ac:dyDescent="0.25">
      <c r="A11" s="366" t="s">
        <v>223</v>
      </c>
      <c r="B11" s="367"/>
      <c r="C11" s="367"/>
      <c r="D11" s="367"/>
      <c r="E11" s="368"/>
    </row>
    <row r="12" spans="1:6" x14ac:dyDescent="0.25">
      <c r="A12" s="369"/>
      <c r="B12" s="370"/>
      <c r="C12" s="370"/>
      <c r="D12" s="370"/>
      <c r="E12" s="371"/>
    </row>
    <row r="13" spans="1:6" x14ac:dyDescent="0.25">
      <c r="A13" s="369"/>
      <c r="B13" s="370"/>
      <c r="C13" s="370"/>
      <c r="D13" s="370"/>
      <c r="E13" s="371"/>
      <c r="F13" s="73"/>
    </row>
    <row r="14" spans="1:6" x14ac:dyDescent="0.25">
      <c r="A14" s="369"/>
      <c r="B14" s="370"/>
      <c r="C14" s="370"/>
      <c r="D14" s="370"/>
      <c r="E14" s="371"/>
      <c r="F14" s="73"/>
    </row>
    <row r="15" spans="1:6" x14ac:dyDescent="0.25">
      <c r="A15" s="369"/>
      <c r="B15" s="370"/>
      <c r="C15" s="370"/>
      <c r="D15" s="370"/>
      <c r="E15" s="371"/>
      <c r="F15" s="73"/>
    </row>
    <row r="16" spans="1:6" x14ac:dyDescent="0.25">
      <c r="A16" s="372"/>
      <c r="B16" s="373"/>
      <c r="C16" s="373"/>
      <c r="D16" s="373"/>
      <c r="E16" s="374"/>
    </row>
    <row r="17" spans="1:5" x14ac:dyDescent="0.25">
      <c r="A17" s="205"/>
      <c r="B17" s="206"/>
      <c r="C17" s="206"/>
      <c r="D17" s="207"/>
      <c r="E17" s="76"/>
    </row>
    <row r="18" spans="1:5" x14ac:dyDescent="0.25">
      <c r="A18" s="205"/>
      <c r="B18" s="206"/>
      <c r="C18" s="206"/>
      <c r="D18" s="207"/>
      <c r="E18" s="76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  <row r="38" spans="1:5" x14ac:dyDescent="0.25">
      <c r="A38" s="56"/>
      <c r="B38" s="54"/>
      <c r="C38" s="54"/>
      <c r="D38" s="54"/>
      <c r="E38" s="54"/>
    </row>
  </sheetData>
  <mergeCells count="2">
    <mergeCell ref="B1:D2"/>
    <mergeCell ref="A11:E16"/>
  </mergeCells>
  <dataValidations count="1">
    <dataValidation type="whole" allowBlank="1" showInputMessage="1" showErrorMessage="1" sqref="E17:E18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E11" sqref="E11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65" t="s">
        <v>58</v>
      </c>
      <c r="C1" s="365"/>
      <c r="D1" s="270"/>
      <c r="E1" s="270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45" x14ac:dyDescent="0.25">
      <c r="A4" s="52" t="s">
        <v>153</v>
      </c>
      <c r="B4" s="53" t="s">
        <v>154</v>
      </c>
      <c r="C4" s="271">
        <v>44957</v>
      </c>
      <c r="D4" s="272" t="s">
        <v>155</v>
      </c>
      <c r="E4" s="55" t="s">
        <v>156</v>
      </c>
      <c r="F4" s="55"/>
      <c r="G4" s="54" t="s">
        <v>157</v>
      </c>
    </row>
    <row r="5" spans="1:17" x14ac:dyDescent="0.25">
      <c r="A5" s="56" t="s">
        <v>158</v>
      </c>
      <c r="B5" s="57" t="s">
        <v>159</v>
      </c>
      <c r="C5" s="271">
        <v>44957</v>
      </c>
      <c r="D5" s="54"/>
      <c r="E5" s="54"/>
      <c r="F5" s="55"/>
      <c r="G5" s="54" t="s">
        <v>157</v>
      </c>
    </row>
    <row r="6" spans="1:17" x14ac:dyDescent="0.25">
      <c r="K6" s="52"/>
      <c r="L6" s="53"/>
      <c r="M6" s="271"/>
      <c r="N6" s="272"/>
      <c r="O6" s="55"/>
      <c r="P6" s="55"/>
      <c r="Q6" s="54"/>
    </row>
    <row r="7" spans="1:17" x14ac:dyDescent="0.25">
      <c r="K7" s="56"/>
      <c r="L7" s="57"/>
      <c r="M7" s="271"/>
      <c r="N7" s="54"/>
      <c r="O7" s="54"/>
      <c r="P7" s="55"/>
      <c r="Q7" s="54"/>
    </row>
    <row r="9" spans="1:17" x14ac:dyDescent="0.25">
      <c r="F9" t="s">
        <v>160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75" t="s">
        <v>61</v>
      </c>
      <c r="B1" s="376"/>
      <c r="C1" s="376"/>
      <c r="D1" s="377"/>
      <c r="E1" s="377"/>
      <c r="F1" s="378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379" t="s">
        <v>63</v>
      </c>
      <c r="C1" s="380"/>
      <c r="D1" s="380"/>
      <c r="E1" s="380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25">
      <c r="A4" s="201"/>
      <c r="B4" s="202"/>
      <c r="C4" s="203"/>
      <c r="D4" s="204"/>
      <c r="E4" s="76"/>
      <c r="F4" s="73"/>
    </row>
    <row r="5" spans="1:6" x14ac:dyDescent="0.25">
      <c r="A5" s="201"/>
      <c r="B5" s="202"/>
      <c r="C5" s="206"/>
      <c r="D5" s="207"/>
      <c r="E5" s="76"/>
      <c r="F5" s="73"/>
    </row>
    <row r="6" spans="1:6" x14ac:dyDescent="0.25">
      <c r="A6" s="201"/>
      <c r="F6" s="74"/>
    </row>
    <row r="7" spans="1:6" x14ac:dyDescent="0.25">
      <c r="A7" s="201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08"/>
      <c r="E8" s="208"/>
      <c r="F8" s="102"/>
    </row>
    <row r="9" spans="1:6" x14ac:dyDescent="0.25">
      <c r="A9" s="102"/>
      <c r="B9" s="102"/>
      <c r="C9" s="102"/>
      <c r="D9" s="208"/>
      <c r="E9" s="208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199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81" t="s">
        <v>64</v>
      </c>
      <c r="B1" s="381"/>
      <c r="C1" s="381"/>
      <c r="D1" s="381"/>
      <c r="E1" s="381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381" t="s">
        <v>17</v>
      </c>
      <c r="B12" s="381"/>
      <c r="C12" s="381"/>
      <c r="D12" s="381"/>
      <c r="E12" s="381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G11" sqref="G11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82" t="s">
        <v>66</v>
      </c>
      <c r="B1" s="382"/>
      <c r="C1" s="383"/>
      <c r="D1" s="383"/>
      <c r="E1" s="382"/>
    </row>
    <row r="2" spans="1:5" ht="21" x14ac:dyDescent="0.35">
      <c r="A2" s="82"/>
      <c r="B2" s="82"/>
      <c r="C2" s="83" t="s">
        <v>23</v>
      </c>
      <c r="D2" s="83">
        <f>SUM(D4:D16)</f>
        <v>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/>
      <c r="B4" s="75"/>
      <c r="C4" s="76"/>
      <c r="D4" s="76"/>
      <c r="E4" s="73"/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84" t="s">
        <v>19</v>
      </c>
      <c r="B1" s="384"/>
      <c r="C1" s="384"/>
      <c r="D1" s="384"/>
      <c r="E1" s="384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7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5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 x14ac:dyDescent="0.25">
      <c r="A1" s="385" t="s">
        <v>20</v>
      </c>
      <c r="B1" s="385"/>
      <c r="C1" s="385"/>
      <c r="D1" s="385"/>
      <c r="E1" s="385"/>
    </row>
    <row r="2" spans="1:5" x14ac:dyDescent="0.25">
      <c r="A2" s="195"/>
      <c r="B2" s="97"/>
      <c r="C2" s="192" t="s">
        <v>23</v>
      </c>
      <c r="D2" s="91">
        <f>SUM(D4:D37)</f>
        <v>300</v>
      </c>
      <c r="E2" s="64"/>
    </row>
    <row r="3" spans="1:5" x14ac:dyDescent="0.2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 s="244" customFormat="1" x14ac:dyDescent="0.25">
      <c r="A4" s="250">
        <v>45937</v>
      </c>
      <c r="B4" s="251" t="s">
        <v>188</v>
      </c>
      <c r="C4" s="310" t="s">
        <v>134</v>
      </c>
      <c r="D4" s="251">
        <v>50</v>
      </c>
      <c r="E4" s="251" t="s">
        <v>222</v>
      </c>
    </row>
    <row r="5" spans="1:5" ht="30" x14ac:dyDescent="0.25">
      <c r="A5" s="72">
        <v>45939</v>
      </c>
      <c r="B5" s="255" t="s">
        <v>213</v>
      </c>
      <c r="C5" s="194" t="s">
        <v>214</v>
      </c>
      <c r="D5" s="76">
        <v>250</v>
      </c>
      <c r="E5" s="95"/>
    </row>
    <row r="6" spans="1:5" x14ac:dyDescent="0.25">
      <c r="A6" s="72"/>
      <c r="B6" s="255"/>
      <c r="C6" s="194"/>
      <c r="D6" s="76"/>
      <c r="E6" s="95"/>
    </row>
    <row r="7" spans="1:5" x14ac:dyDescent="0.25">
      <c r="A7" s="72"/>
      <c r="B7" s="94"/>
      <c r="C7" s="194"/>
      <c r="D7" s="76"/>
      <c r="E7" s="95"/>
    </row>
    <row r="8" spans="1:5" x14ac:dyDescent="0.25">
      <c r="A8" s="72"/>
      <c r="B8" s="94"/>
      <c r="C8" s="194"/>
      <c r="D8" s="76"/>
      <c r="E8" s="95"/>
    </row>
    <row r="9" spans="1:5" x14ac:dyDescent="0.25">
      <c r="A9" s="195"/>
      <c r="B9" s="96"/>
      <c r="C9" s="12"/>
      <c r="D9" s="55"/>
      <c r="E9" s="97"/>
    </row>
    <row r="10" spans="1:5" x14ac:dyDescent="0.25">
      <c r="A10" s="195"/>
      <c r="B10" s="97"/>
      <c r="C10" s="12"/>
      <c r="D10" s="97"/>
      <c r="E10" s="97"/>
    </row>
    <row r="11" spans="1:5" x14ac:dyDescent="0.25">
      <c r="A11" s="195"/>
      <c r="B11" s="97"/>
      <c r="C11" s="12"/>
      <c r="D11" s="97"/>
      <c r="E11" s="97"/>
    </row>
    <row r="12" spans="1:5" x14ac:dyDescent="0.25">
      <c r="A12" s="195"/>
      <c r="B12" s="97"/>
      <c r="C12" s="12"/>
      <c r="D12" s="97"/>
      <c r="E12" s="97"/>
    </row>
    <row r="13" spans="1:5" x14ac:dyDescent="0.25">
      <c r="A13" s="195"/>
      <c r="B13" s="97" t="s">
        <v>127</v>
      </c>
      <c r="C13" s="12"/>
      <c r="D13" s="97"/>
      <c r="E13" s="97"/>
    </row>
    <row r="14" spans="1:5" x14ac:dyDescent="0.25">
      <c r="A14" s="195"/>
      <c r="B14" s="97"/>
      <c r="C14" s="12" t="s">
        <v>146</v>
      </c>
      <c r="D14" s="97"/>
      <c r="E14" s="97"/>
    </row>
    <row r="15" spans="1:5" x14ac:dyDescent="0.25">
      <c r="A15" s="195"/>
      <c r="B15" s="97"/>
      <c r="C15" s="12"/>
      <c r="D15" s="97"/>
      <c r="E15" s="97"/>
    </row>
    <row r="16" spans="1:5" x14ac:dyDescent="0.25">
      <c r="A16" s="195"/>
      <c r="B16" s="97"/>
      <c r="C16" s="12"/>
      <c r="D16" s="97"/>
      <c r="E16" s="97"/>
    </row>
    <row r="17" spans="1:5" x14ac:dyDescent="0.25">
      <c r="A17" s="195"/>
      <c r="B17" s="97"/>
      <c r="C17" s="12"/>
      <c r="D17" s="97"/>
      <c r="E17" s="97"/>
    </row>
    <row r="18" spans="1:5" x14ac:dyDescent="0.25">
      <c r="A18" s="195"/>
      <c r="B18" s="97"/>
      <c r="C18" s="12"/>
      <c r="D18" s="97"/>
      <c r="E18" s="97"/>
    </row>
    <row r="19" spans="1:5" x14ac:dyDescent="0.25">
      <c r="A19" s="195"/>
      <c r="B19" s="97"/>
      <c r="C19" s="12"/>
      <c r="D19" s="97"/>
      <c r="E19" s="97"/>
    </row>
    <row r="20" spans="1:5" x14ac:dyDescent="0.25">
      <c r="A20" s="195"/>
      <c r="B20" s="97"/>
      <c r="C20" s="12"/>
      <c r="D20" s="97"/>
      <c r="E20" s="97"/>
    </row>
    <row r="21" spans="1:5" x14ac:dyDescent="0.25">
      <c r="A21" s="195"/>
      <c r="B21" s="97"/>
      <c r="C21" s="12"/>
      <c r="D21" s="97"/>
      <c r="E21" s="97"/>
    </row>
    <row r="22" spans="1:5" x14ac:dyDescent="0.25">
      <c r="A22" s="195"/>
      <c r="B22" s="97"/>
      <c r="C22" s="12"/>
      <c r="D22" s="97"/>
      <c r="E22" s="97"/>
    </row>
    <row r="23" spans="1:5" x14ac:dyDescent="0.25">
      <c r="A23" s="195"/>
      <c r="B23" s="97"/>
      <c r="C23" s="12"/>
      <c r="D23" s="97"/>
      <c r="E23" s="97"/>
    </row>
    <row r="24" spans="1:5" x14ac:dyDescent="0.25">
      <c r="A24" s="195"/>
      <c r="B24" s="97"/>
      <c r="C24" s="12"/>
      <c r="D24" s="97"/>
      <c r="E24" s="97"/>
    </row>
    <row r="25" spans="1:5" x14ac:dyDescent="0.25">
      <c r="A25" s="195"/>
      <c r="B25" s="97"/>
      <c r="C25" s="12"/>
      <c r="D25" s="97"/>
      <c r="E25" s="97"/>
    </row>
    <row r="26" spans="1:5" x14ac:dyDescent="0.25">
      <c r="A26" s="195"/>
      <c r="B26" s="97"/>
      <c r="C26" s="12"/>
      <c r="D26" s="97"/>
      <c r="E26" s="97"/>
    </row>
    <row r="27" spans="1:5" x14ac:dyDescent="0.25">
      <c r="A27" s="195"/>
      <c r="B27" s="97"/>
      <c r="C27" s="12"/>
      <c r="D27" s="97"/>
      <c r="E27" s="97"/>
    </row>
    <row r="28" spans="1:5" x14ac:dyDescent="0.25">
      <c r="A28" s="195"/>
      <c r="B28" s="97"/>
      <c r="C28" s="12"/>
      <c r="D28" s="97"/>
      <c r="E28" s="97"/>
    </row>
    <row r="29" spans="1:5" x14ac:dyDescent="0.25">
      <c r="A29" s="195"/>
      <c r="B29" s="97"/>
      <c r="C29" s="12"/>
      <c r="D29" s="97"/>
      <c r="E29" s="97"/>
    </row>
    <row r="30" spans="1:5" x14ac:dyDescent="0.25">
      <c r="A30" s="195"/>
      <c r="B30" s="97"/>
      <c r="C30" s="12"/>
      <c r="D30" s="97"/>
      <c r="E30" s="97"/>
    </row>
    <row r="31" spans="1:5" x14ac:dyDescent="0.25">
      <c r="A31" s="195"/>
      <c r="B31" s="97"/>
      <c r="C31" s="12"/>
      <c r="D31" s="97"/>
      <c r="E31" s="97"/>
    </row>
    <row r="32" spans="1:5" x14ac:dyDescent="0.25">
      <c r="A32" s="195"/>
      <c r="B32" s="97"/>
      <c r="C32" s="12"/>
      <c r="D32" s="97"/>
      <c r="E32" s="97"/>
    </row>
    <row r="33" spans="1:5" x14ac:dyDescent="0.25">
      <c r="A33" s="195"/>
      <c r="B33" s="97"/>
      <c r="C33" s="12"/>
      <c r="D33" s="97"/>
      <c r="E33" s="97"/>
    </row>
    <row r="34" spans="1:5" x14ac:dyDescent="0.25">
      <c r="A34" s="195"/>
      <c r="B34" s="97"/>
      <c r="C34" s="12"/>
      <c r="D34" s="97"/>
      <c r="E34" s="97"/>
    </row>
    <row r="35" spans="1:5" x14ac:dyDescent="0.25">
      <c r="A35" s="195"/>
      <c r="B35" s="97"/>
      <c r="C35" s="12"/>
      <c r="D35" s="97"/>
      <c r="E35" s="97"/>
    </row>
    <row r="36" spans="1:5" x14ac:dyDescent="0.25">
      <c r="A36" s="195"/>
      <c r="B36" s="97"/>
      <c r="C36" s="12"/>
      <c r="D36" s="97"/>
      <c r="E36" s="97"/>
    </row>
    <row r="37" spans="1:5" x14ac:dyDescent="0.25">
      <c r="A37" s="195"/>
      <c r="B37" s="97"/>
      <c r="C37" s="12"/>
      <c r="D37" s="97"/>
      <c r="E37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84" t="s">
        <v>70</v>
      </c>
      <c r="B1" s="384"/>
      <c r="C1" s="384"/>
      <c r="D1" s="384"/>
      <c r="E1" s="384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2"/>
      <c r="B4" s="73"/>
      <c r="C4" s="73"/>
      <c r="D4" s="73"/>
      <c r="E4" s="73"/>
    </row>
    <row r="5" spans="1:5" x14ac:dyDescent="0.25">
      <c r="A5" s="212"/>
      <c r="B5" s="73"/>
      <c r="C5" s="73"/>
      <c r="D5" s="73"/>
      <c r="E5" s="73"/>
    </row>
    <row r="6" spans="1:5" x14ac:dyDescent="0.25">
      <c r="A6" s="212"/>
      <c r="B6" s="73"/>
      <c r="C6" s="73"/>
      <c r="D6" s="73"/>
      <c r="E6" s="73"/>
    </row>
    <row r="7" spans="1:5" x14ac:dyDescent="0.25">
      <c r="A7" s="212"/>
      <c r="B7" s="73"/>
      <c r="C7" s="73"/>
      <c r="D7" s="73"/>
      <c r="E7" s="73"/>
    </row>
    <row r="8" spans="1:5" x14ac:dyDescent="0.25">
      <c r="A8" s="212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391" t="s">
        <v>0</v>
      </c>
      <c r="B1" s="392"/>
      <c r="C1" s="392"/>
      <c r="D1" s="392"/>
      <c r="E1" s="393"/>
      <c r="G1" s="391" t="s">
        <v>0</v>
      </c>
      <c r="H1" s="392"/>
      <c r="I1" s="392"/>
      <c r="J1" s="392"/>
      <c r="K1" s="393"/>
    </row>
    <row r="2" spans="1:11" x14ac:dyDescent="0.25">
      <c r="A2" s="340"/>
      <c r="B2" s="330"/>
      <c r="C2" s="330"/>
      <c r="D2" s="330"/>
      <c r="E2" s="341"/>
      <c r="G2" s="340"/>
      <c r="H2" s="330"/>
      <c r="I2" s="330"/>
      <c r="J2" s="330"/>
      <c r="K2" s="341"/>
    </row>
    <row r="3" spans="1:11" ht="15.75" x14ac:dyDescent="0.25">
      <c r="A3" s="386" t="s">
        <v>76</v>
      </c>
      <c r="B3" s="387"/>
      <c r="C3" s="103" t="s">
        <v>113</v>
      </c>
      <c r="D3" s="103"/>
      <c r="E3" s="104"/>
      <c r="G3" s="219" t="s">
        <v>131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18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394" t="s">
        <v>23</v>
      </c>
      <c r="H8" s="395"/>
      <c r="I8" s="395"/>
      <c r="J8" s="396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394" t="s">
        <v>23</v>
      </c>
      <c r="B12" s="395"/>
      <c r="C12" s="395"/>
      <c r="D12" s="396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391" t="s">
        <v>0</v>
      </c>
      <c r="H15" s="392"/>
      <c r="I15" s="392"/>
      <c r="J15" s="392"/>
      <c r="K15" s="393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340"/>
      <c r="H16" s="330"/>
      <c r="I16" s="330"/>
      <c r="J16" s="330"/>
      <c r="K16" s="341"/>
    </row>
    <row r="17" spans="1:11" ht="15.75" x14ac:dyDescent="0.25">
      <c r="G17" s="386" t="s">
        <v>76</v>
      </c>
      <c r="H17" s="387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391" t="s">
        <v>0</v>
      </c>
      <c r="B19" s="392"/>
      <c r="C19" s="392"/>
      <c r="D19" s="392"/>
      <c r="E19" s="393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340"/>
      <c r="B20" s="330"/>
      <c r="C20" s="330"/>
      <c r="D20" s="330"/>
      <c r="E20" s="341"/>
      <c r="G20" s="110">
        <v>1</v>
      </c>
      <c r="H20" s="111"/>
      <c r="I20" s="111"/>
      <c r="J20" s="111"/>
      <c r="K20" s="112"/>
    </row>
    <row r="21" spans="1:11" ht="15.75" x14ac:dyDescent="0.25">
      <c r="A21" s="386" t="s">
        <v>76</v>
      </c>
      <c r="B21" s="387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388" t="s">
        <v>23</v>
      </c>
      <c r="H26" s="389"/>
      <c r="I26" s="389"/>
      <c r="J26" s="390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388" t="s">
        <v>23</v>
      </c>
      <c r="B30" s="389"/>
      <c r="C30" s="389"/>
      <c r="D30" s="390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2"/>
  <sheetViews>
    <sheetView zoomScaleNormal="100" workbookViewId="0">
      <selection activeCell="L9" sqref="L9"/>
    </sheetView>
  </sheetViews>
  <sheetFormatPr defaultRowHeight="15" x14ac:dyDescent="0.25"/>
  <cols>
    <col min="1" max="1" width="7.7109375" customWidth="1"/>
    <col min="2" max="2" width="10.85546875" style="143" customWidth="1"/>
    <col min="3" max="3" width="22.85546875" style="151" customWidth="1"/>
    <col min="4" max="4" width="19.85546875" customWidth="1"/>
    <col min="5" max="5" width="9.140625" style="185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29" t="s">
        <v>0</v>
      </c>
      <c r="B1" s="329"/>
      <c r="C1" s="329"/>
      <c r="D1" s="329"/>
      <c r="E1" s="329"/>
      <c r="F1" s="329"/>
      <c r="H1" s="329" t="s">
        <v>0</v>
      </c>
      <c r="I1" s="329"/>
      <c r="J1" s="329"/>
      <c r="K1" s="329"/>
      <c r="L1" s="329"/>
      <c r="M1" s="329"/>
    </row>
    <row r="2" spans="1:13" ht="18.75" x14ac:dyDescent="0.25">
      <c r="A2" s="401"/>
      <c r="B2" s="401"/>
      <c r="C2" s="402" t="s">
        <v>89</v>
      </c>
      <c r="D2" s="402"/>
      <c r="E2" s="402"/>
      <c r="F2" s="139"/>
      <c r="H2" s="401"/>
      <c r="I2" s="401"/>
      <c r="J2" s="402" t="s">
        <v>122</v>
      </c>
      <c r="K2" s="402"/>
      <c r="L2" s="402"/>
      <c r="M2" s="139"/>
    </row>
    <row r="3" spans="1:13" x14ac:dyDescent="0.25">
      <c r="A3" s="108" t="s">
        <v>77</v>
      </c>
      <c r="B3" s="178" t="s">
        <v>36</v>
      </c>
      <c r="C3" s="187" t="s">
        <v>116</v>
      </c>
      <c r="D3" s="108" t="s">
        <v>5</v>
      </c>
      <c r="E3" s="108" t="s">
        <v>56</v>
      </c>
      <c r="F3" s="108" t="s">
        <v>123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123</v>
      </c>
    </row>
    <row r="4" spans="1:13" ht="26.25" x14ac:dyDescent="0.25">
      <c r="A4" s="135">
        <v>1</v>
      </c>
      <c r="B4" s="178">
        <v>45327</v>
      </c>
      <c r="C4" s="284" t="s">
        <v>220</v>
      </c>
      <c r="D4" s="108" t="s">
        <v>148</v>
      </c>
      <c r="E4" s="108">
        <v>500</v>
      </c>
      <c r="F4" s="108"/>
      <c r="H4" s="135">
        <v>1</v>
      </c>
      <c r="I4" s="200">
        <v>45571</v>
      </c>
      <c r="J4" s="187" t="s">
        <v>135</v>
      </c>
      <c r="K4" s="108" t="s">
        <v>134</v>
      </c>
      <c r="L4" s="108">
        <v>150</v>
      </c>
      <c r="M4" s="108" t="s">
        <v>163</v>
      </c>
    </row>
    <row r="5" spans="1:13" x14ac:dyDescent="0.25">
      <c r="A5" s="124"/>
      <c r="B5" s="186"/>
      <c r="C5" s="188"/>
      <c r="D5" s="281" t="s">
        <v>23</v>
      </c>
      <c r="E5" s="282">
        <f>SUM(E4:E4)</f>
        <v>500</v>
      </c>
      <c r="F5" s="108"/>
      <c r="H5" s="124"/>
      <c r="I5" s="186"/>
      <c r="J5" s="188"/>
      <c r="K5" s="281" t="s">
        <v>23</v>
      </c>
      <c r="L5" s="48">
        <f>SUM(L4:L4)</f>
        <v>150</v>
      </c>
      <c r="M5" s="108"/>
    </row>
    <row r="6" spans="1:13" x14ac:dyDescent="0.25">
      <c r="I6" s="143"/>
      <c r="J6" s="151"/>
      <c r="L6" s="185"/>
    </row>
    <row r="7" spans="1:13" x14ac:dyDescent="0.25">
      <c r="A7" s="114"/>
      <c r="B7" s="179"/>
      <c r="C7" s="189"/>
      <c r="D7" s="114"/>
      <c r="E7" s="184"/>
      <c r="F7" s="114"/>
      <c r="H7" s="114"/>
      <c r="I7" s="179" t="s">
        <v>127</v>
      </c>
      <c r="J7" s="189"/>
      <c r="K7" s="114"/>
      <c r="L7" s="184"/>
      <c r="M7" s="114"/>
    </row>
    <row r="8" spans="1:13" x14ac:dyDescent="0.25">
      <c r="A8" s="137" t="s">
        <v>78</v>
      </c>
      <c r="B8" s="180"/>
      <c r="C8" s="190"/>
      <c r="D8" s="47" t="s">
        <v>79</v>
      </c>
      <c r="F8" s="47" t="s">
        <v>80</v>
      </c>
      <c r="H8" s="137" t="s">
        <v>78</v>
      </c>
      <c r="I8" s="180"/>
      <c r="J8" s="190"/>
      <c r="K8" s="47" t="s">
        <v>79</v>
      </c>
      <c r="L8" s="185"/>
      <c r="M8" s="47" t="s">
        <v>80</v>
      </c>
    </row>
    <row r="9" spans="1:13" x14ac:dyDescent="0.25">
      <c r="A9" s="138" t="s">
        <v>30</v>
      </c>
      <c r="B9" s="179"/>
      <c r="C9" s="189"/>
      <c r="D9" s="114" t="s">
        <v>81</v>
      </c>
      <c r="F9" s="114" t="s">
        <v>82</v>
      </c>
      <c r="H9" s="138" t="s">
        <v>30</v>
      </c>
      <c r="I9" s="179"/>
      <c r="J9" s="189"/>
      <c r="K9" s="114" t="s">
        <v>81</v>
      </c>
      <c r="L9" s="185"/>
      <c r="M9" s="114" t="s">
        <v>82</v>
      </c>
    </row>
    <row r="10" spans="1:13" x14ac:dyDescent="0.25">
      <c r="I10" s="143"/>
      <c r="J10" s="151"/>
      <c r="L10" s="185"/>
    </row>
    <row r="11" spans="1:13" ht="28.5" x14ac:dyDescent="0.45">
      <c r="A11" s="397"/>
      <c r="B11" s="397"/>
      <c r="C11" s="397"/>
      <c r="D11" s="397"/>
      <c r="E11" s="397"/>
      <c r="F11" s="397"/>
      <c r="G11" s="108"/>
      <c r="H11" s="400" t="s">
        <v>0</v>
      </c>
      <c r="I11" s="400"/>
      <c r="J11" s="400"/>
      <c r="K11" s="400"/>
      <c r="L11" s="400"/>
    </row>
    <row r="12" spans="1:13" ht="21" x14ac:dyDescent="0.25">
      <c r="A12" s="329" t="s">
        <v>0</v>
      </c>
      <c r="B12" s="329"/>
      <c r="C12" s="329"/>
      <c r="D12" s="329"/>
      <c r="E12" s="329"/>
      <c r="F12" s="329"/>
      <c r="J12" t="s">
        <v>70</v>
      </c>
    </row>
    <row r="13" spans="1:13" ht="18.75" x14ac:dyDescent="0.25">
      <c r="A13" s="401"/>
      <c r="B13" s="401"/>
      <c r="C13" s="402" t="s">
        <v>122</v>
      </c>
      <c r="D13" s="402"/>
      <c r="E13" s="402"/>
      <c r="F13" s="139"/>
    </row>
    <row r="14" spans="1:13" x14ac:dyDescent="0.25">
      <c r="A14" s="108" t="s">
        <v>77</v>
      </c>
      <c r="B14" s="178" t="s">
        <v>36</v>
      </c>
      <c r="C14" s="85" t="s">
        <v>55</v>
      </c>
      <c r="D14" s="108" t="s">
        <v>5</v>
      </c>
      <c r="E14" s="108" t="s">
        <v>56</v>
      </c>
      <c r="F14" s="108" t="s">
        <v>123</v>
      </c>
      <c r="H14" s="349" t="s">
        <v>36</v>
      </c>
      <c r="I14" s="351"/>
      <c r="J14" s="102" t="s">
        <v>68</v>
      </c>
      <c r="K14" s="102" t="s">
        <v>130</v>
      </c>
      <c r="L14" s="102" t="s">
        <v>56</v>
      </c>
    </row>
    <row r="15" spans="1:13" ht="27.95" customHeight="1" x14ac:dyDescent="0.25">
      <c r="A15" s="135">
        <v>1</v>
      </c>
      <c r="B15" s="200">
        <v>45327</v>
      </c>
      <c r="C15" s="187" t="s">
        <v>149</v>
      </c>
      <c r="D15" s="108" t="s">
        <v>134</v>
      </c>
      <c r="E15" s="108">
        <v>200</v>
      </c>
      <c r="F15" s="108" t="s">
        <v>162</v>
      </c>
      <c r="H15" s="398"/>
      <c r="I15" s="399"/>
      <c r="J15" s="102"/>
      <c r="K15" s="102"/>
      <c r="L15" s="102"/>
    </row>
    <row r="16" spans="1:13" x14ac:dyDescent="0.25">
      <c r="B16"/>
      <c r="C16"/>
      <c r="E16"/>
      <c r="L16" s="102"/>
    </row>
    <row r="17" spans="1:12" x14ac:dyDescent="0.25">
      <c r="A17" s="124"/>
      <c r="B17" s="186"/>
      <c r="C17" s="188"/>
      <c r="D17" s="108" t="s">
        <v>23</v>
      </c>
      <c r="E17" s="48">
        <f>SUM(E15:E15)</f>
        <v>200</v>
      </c>
      <c r="F17" s="108"/>
      <c r="K17" s="102" t="s">
        <v>23</v>
      </c>
      <c r="L17" s="102">
        <v>500</v>
      </c>
    </row>
    <row r="19" spans="1:12" x14ac:dyDescent="0.25">
      <c r="A19" s="114"/>
      <c r="B19" s="179" t="s">
        <v>127</v>
      </c>
      <c r="C19" s="189"/>
      <c r="D19" s="114"/>
      <c r="E19" s="184"/>
      <c r="F19" s="114"/>
      <c r="H19" s="137"/>
      <c r="I19" s="180"/>
      <c r="J19" s="47"/>
      <c r="L19" s="47"/>
    </row>
    <row r="20" spans="1:12" x14ac:dyDescent="0.25">
      <c r="A20" s="137" t="s">
        <v>78</v>
      </c>
      <c r="B20" s="180"/>
      <c r="C20" s="190"/>
      <c r="D20" s="47" t="s">
        <v>79</v>
      </c>
      <c r="F20" s="47" t="s">
        <v>80</v>
      </c>
      <c r="H20" s="138"/>
      <c r="I20" s="179"/>
      <c r="J20" s="114"/>
      <c r="L20" s="114"/>
    </row>
    <row r="21" spans="1:12" x14ac:dyDescent="0.25">
      <c r="A21" s="138" t="s">
        <v>30</v>
      </c>
      <c r="B21" s="179"/>
      <c r="C21" s="189"/>
      <c r="D21" s="114" t="s">
        <v>81</v>
      </c>
      <c r="F21" s="114" t="s">
        <v>82</v>
      </c>
      <c r="H21" s="137" t="s">
        <v>78</v>
      </c>
      <c r="I21" s="180"/>
      <c r="J21" s="47" t="s">
        <v>79</v>
      </c>
      <c r="L21" s="47" t="s">
        <v>80</v>
      </c>
    </row>
    <row r="22" spans="1:12" x14ac:dyDescent="0.25">
      <c r="H22" s="138" t="s">
        <v>30</v>
      </c>
      <c r="I22" s="179"/>
      <c r="J22" s="114" t="s">
        <v>81</v>
      </c>
      <c r="L22" s="114" t="s">
        <v>82</v>
      </c>
    </row>
  </sheetData>
  <mergeCells count="13">
    <mergeCell ref="A11:F11"/>
    <mergeCell ref="H15:I15"/>
    <mergeCell ref="H14:I14"/>
    <mergeCell ref="H11:L11"/>
    <mergeCell ref="A1:F1"/>
    <mergeCell ref="A2:B2"/>
    <mergeCell ref="C2:E2"/>
    <mergeCell ref="H1:M1"/>
    <mergeCell ref="H2:I2"/>
    <mergeCell ref="J2:L2"/>
    <mergeCell ref="A12:F12"/>
    <mergeCell ref="A13:B13"/>
    <mergeCell ref="C13:E13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13" t="s">
        <v>90</v>
      </c>
      <c r="B1" s="414"/>
      <c r="C1" s="414"/>
      <c r="D1" s="415"/>
      <c r="F1" s="405" t="s">
        <v>105</v>
      </c>
      <c r="G1" s="406"/>
      <c r="H1" s="406"/>
      <c r="I1" s="407"/>
    </row>
    <row r="2" spans="1:9" ht="18.75" x14ac:dyDescent="0.3">
      <c r="A2" s="416" t="s">
        <v>91</v>
      </c>
      <c r="B2" s="409"/>
      <c r="C2" s="409"/>
      <c r="D2" s="417"/>
      <c r="F2" s="408" t="s">
        <v>91</v>
      </c>
      <c r="G2" s="409"/>
      <c r="H2" s="409"/>
      <c r="I2" s="410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92</v>
      </c>
      <c r="B4" s="146" t="s">
        <v>36</v>
      </c>
      <c r="C4" s="145" t="s">
        <v>55</v>
      </c>
      <c r="D4" s="145" t="s">
        <v>93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92</v>
      </c>
      <c r="G6" s="145" t="s">
        <v>36</v>
      </c>
      <c r="H6" s="145" t="s">
        <v>55</v>
      </c>
      <c r="I6" s="158" t="s">
        <v>93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11" t="s">
        <v>23</v>
      </c>
      <c r="G12" s="412"/>
      <c r="H12" s="412"/>
      <c r="I12" s="112"/>
    </row>
    <row r="13" spans="1:9" ht="21" x14ac:dyDescent="0.25">
      <c r="A13" s="418" t="s">
        <v>23</v>
      </c>
      <c r="B13" s="412"/>
      <c r="C13" s="412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94</v>
      </c>
      <c r="C15" t="s">
        <v>95</v>
      </c>
      <c r="D15" s="144"/>
      <c r="F15" s="116"/>
      <c r="I15" s="106"/>
    </row>
    <row r="16" spans="1:9" x14ac:dyDescent="0.25">
      <c r="A16" s="150" t="s">
        <v>96</v>
      </c>
      <c r="B16" s="143" t="s">
        <v>97</v>
      </c>
      <c r="D16" s="144"/>
      <c r="F16" s="156"/>
      <c r="I16" s="106"/>
    </row>
    <row r="17" spans="1:9" x14ac:dyDescent="0.25">
      <c r="A17" s="142" t="s">
        <v>98</v>
      </c>
      <c r="B17" s="151" t="s">
        <v>99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106</v>
      </c>
      <c r="H18" t="s">
        <v>107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100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100</v>
      </c>
      <c r="H22" s="47" t="s">
        <v>31</v>
      </c>
      <c r="I22" s="106"/>
    </row>
    <row r="23" spans="1:9" ht="24" thickBot="1" x14ac:dyDescent="0.4">
      <c r="A23" s="405" t="s">
        <v>90</v>
      </c>
      <c r="B23" s="406"/>
      <c r="C23" s="406"/>
      <c r="D23" s="407"/>
      <c r="F23" s="162"/>
      <c r="G23" s="129"/>
      <c r="H23" s="129"/>
      <c r="I23" s="130"/>
    </row>
    <row r="24" spans="1:9" ht="18.75" x14ac:dyDescent="0.3">
      <c r="A24" s="408" t="s">
        <v>91</v>
      </c>
      <c r="B24" s="409"/>
      <c r="C24" s="409"/>
      <c r="D24" s="410"/>
    </row>
    <row r="25" spans="1:9" x14ac:dyDescent="0.25">
      <c r="A25" s="156"/>
      <c r="B25" s="143"/>
      <c r="D25" s="106"/>
    </row>
    <row r="26" spans="1:9" x14ac:dyDescent="0.25">
      <c r="A26" s="157" t="s">
        <v>92</v>
      </c>
      <c r="B26" s="146" t="s">
        <v>36</v>
      </c>
      <c r="C26" s="145" t="s">
        <v>55</v>
      </c>
      <c r="D26" s="158" t="s">
        <v>93</v>
      </c>
    </row>
    <row r="27" spans="1:9" x14ac:dyDescent="0.25">
      <c r="A27" s="110">
        <v>1</v>
      </c>
      <c r="B27" s="147">
        <v>44927</v>
      </c>
      <c r="C27" s="159" t="s">
        <v>101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11" t="s">
        <v>23</v>
      </c>
      <c r="B34" s="412"/>
      <c r="C34" s="412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403"/>
      <c r="B36" s="332"/>
      <c r="C36" s="332"/>
      <c r="D36" s="404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102</v>
      </c>
      <c r="B38" s="143" t="s">
        <v>103</v>
      </c>
      <c r="D38" s="106"/>
    </row>
    <row r="39" spans="1:4" x14ac:dyDescent="0.25">
      <c r="A39" s="116" t="s">
        <v>98</v>
      </c>
      <c r="B39" s="143" t="s">
        <v>104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100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05" t="s">
        <v>108</v>
      </c>
      <c r="B1" s="406"/>
      <c r="C1" s="406"/>
      <c r="D1" s="406"/>
      <c r="E1" s="406"/>
      <c r="F1" s="407"/>
      <c r="H1" s="405" t="s">
        <v>112</v>
      </c>
      <c r="I1" s="406"/>
      <c r="J1" s="406"/>
      <c r="K1" s="406"/>
      <c r="L1" s="406"/>
      <c r="M1" s="407"/>
    </row>
    <row r="2" spans="1:13" ht="18.75" x14ac:dyDescent="0.3">
      <c r="A2" s="408" t="s">
        <v>91</v>
      </c>
      <c r="B2" s="409"/>
      <c r="C2" s="409"/>
      <c r="D2" s="409"/>
      <c r="E2" s="409"/>
      <c r="F2" s="410"/>
      <c r="H2" s="408" t="s">
        <v>91</v>
      </c>
      <c r="I2" s="409"/>
      <c r="J2" s="409"/>
      <c r="K2" s="409"/>
      <c r="L2" s="409"/>
      <c r="M2" s="410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92</v>
      </c>
      <c r="I4" s="146" t="s">
        <v>36</v>
      </c>
      <c r="J4" s="145" t="s">
        <v>109</v>
      </c>
      <c r="K4" s="145" t="s">
        <v>110</v>
      </c>
      <c r="L4" s="168" t="s">
        <v>55</v>
      </c>
      <c r="M4" s="158" t="s">
        <v>93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92</v>
      </c>
      <c r="B6" s="146" t="s">
        <v>36</v>
      </c>
      <c r="C6" s="145" t="s">
        <v>109</v>
      </c>
      <c r="D6" s="145" t="s">
        <v>110</v>
      </c>
      <c r="E6" s="168" t="s">
        <v>55</v>
      </c>
      <c r="F6" s="158" t="s">
        <v>93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11" t="s">
        <v>23</v>
      </c>
      <c r="I7" s="412"/>
      <c r="J7" s="412"/>
      <c r="K7" s="412"/>
      <c r="L7" s="419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11" t="s">
        <v>23</v>
      </c>
      <c r="B9" s="412"/>
      <c r="C9" s="412"/>
      <c r="D9" s="412"/>
      <c r="E9" s="419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111</v>
      </c>
      <c r="C14" s="47"/>
      <c r="D14" s="171" t="s">
        <v>100</v>
      </c>
      <c r="E14" s="47"/>
      <c r="F14" s="172" t="s">
        <v>31</v>
      </c>
      <c r="H14" s="174" t="s">
        <v>111</v>
      </c>
      <c r="I14" s="47"/>
      <c r="J14" s="171" t="s">
        <v>100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Goods Delivery Voucher</vt:lpstr>
      <vt:lpstr>Conveyance Voucher</vt:lpstr>
      <vt:lpstr>4. Goods Sending Expense</vt:lpstr>
      <vt:lpstr>3. B2B-Non Power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2025-10-12T06:44:56Z</cp:lastPrinted>
  <dcterms:created xsi:type="dcterms:W3CDTF">2023-01-08T05:51:58Z</dcterms:created>
  <dcterms:modified xsi:type="dcterms:W3CDTF">2025-10-12T06:47:33Z</dcterms:modified>
</cp:coreProperties>
</file>