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office file\petty cash bill\1-1-2025 31-11-2025\1-10-2025 to 31-10-2025\1-10-2025 TO 10-10-2025\"/>
    </mc:Choice>
  </mc:AlternateContent>
  <xr:revisionPtr revIDLastSave="0" documentId="13_ncr:1_{A1BD8BF7-6118-470A-8862-3C3785AFFCF9}" xr6:coauthVersionLast="47" xr6:coauthVersionMax="47" xr10:uidLastSave="{00000000-0000-0000-0000-000000000000}"/>
  <bookViews>
    <workbookView xWindow="-120" yWindow="-120" windowWidth="20730" windowHeight="11160" tabRatio="863" activeTab="4" xr2:uid="{00000000-000D-0000-FFFF-FFFF00000000}"/>
  </bookViews>
  <sheets>
    <sheet name="Front Page" sheetId="1" r:id="rId1"/>
    <sheet name="1. B2B- IPP" sheetId="2" state="hidden" r:id="rId2"/>
    <sheet name="2. B2C" sheetId="3" r:id="rId3"/>
    <sheet name="Goods Delivery Voucher" sheetId="19" r:id="rId4"/>
    <sheet name="Conveyance Voucher" sheetId="18" r:id="rId5"/>
    <sheet name="4. Goods Sending Expense" sheetId="5" r:id="rId6"/>
    <sheet name="3. B2B-Non Power" sheetId="4" state="hidden" r:id="rId7"/>
    <sheet name="5. Goods Receiving Expense" sheetId="6" r:id="rId8"/>
    <sheet name="6.WH-Depot Maintenance" sheetId="7" r:id="rId9"/>
    <sheet name="7. Utilities" sheetId="8" r:id="rId10"/>
    <sheet name="8. Printing" sheetId="9" state="hidden" r:id="rId11"/>
    <sheet name="9. Stationary" sheetId="10" state="hidden" r:id="rId12"/>
    <sheet name="10-11.Delivery Van Expense" sheetId="11" state="hidden" r:id="rId13"/>
    <sheet name="12. Entertainment" sheetId="12" r:id="rId14"/>
    <sheet name="13. Food Allowance" sheetId="13" state="hidden" r:id="rId15"/>
    <sheet name="14. Conveyance" sheetId="14" r:id="rId16"/>
    <sheet name="15. For Security" sheetId="15" state="hidden" r:id="rId17"/>
    <sheet name="Monthly Volume" sheetId="16" state="hidden" r:id="rId18"/>
    <sheet name="Purchase Voucher" sheetId="17" state="hidden" r:id="rId19"/>
    <sheet name="Labour Bill Voucher" sheetId="20" r:id="rId20"/>
    <sheet name="Others &amp; Cleaning" sheetId="21" state="hidden" r:id="rId21"/>
    <sheet name="Food Bill" sheetId="22" state="hidden" r:id="rId22"/>
  </sheets>
  <definedNames>
    <definedName name="_xlnm._FilterDatabase" localSheetId="2" hidden="1">'2. B2C'!$A$3:$L$4</definedName>
    <definedName name="_xlnm.Print_Area" localSheetId="1">'1. B2B- IPP'!$A$2:$M$3</definedName>
    <definedName name="_xlnm.Print_Area" localSheetId="0">'Front Page'!$A$1:$D$44</definedName>
    <definedName name="_xlnm.Print_Titles" localSheetId="1">'1. B2B- IPP'!$2:$3</definedName>
    <definedName name="_xlnm.Print_Titles" localSheetId="2">'2. B2C'!$3:$3</definedName>
    <definedName name="_xlnm.Print_Titles" localSheetId="6">'3. B2B-Non Power'!$3:$3</definedName>
    <definedName name="_xlnm.Print_Titles" localSheetId="5">'4. Goods Sending Expense'!$3:$3</definedName>
    <definedName name="_xlnm.Print_Titles" localSheetId="7">'5. Goods Receiving Expense'!$3:$3</definedName>
    <definedName name="_xlnm.Print_Titles" localSheetId="8">'6.WH-Depot Maintenance'!$4:$4</definedName>
    <definedName name="xadd1" localSheetId="4">'Conveyance Voucher'!#REF!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14" l="1"/>
  <c r="L22" i="3"/>
  <c r="L23" i="3"/>
  <c r="L14" i="3" l="1"/>
  <c r="L15" i="3"/>
  <c r="L16" i="3"/>
  <c r="L17" i="3"/>
  <c r="L18" i="3"/>
  <c r="L19" i="3"/>
  <c r="L20" i="3"/>
  <c r="L21" i="3"/>
  <c r="E4" i="3"/>
  <c r="L6" i="3" l="1"/>
  <c r="L7" i="3"/>
  <c r="L8" i="3"/>
  <c r="L9" i="3"/>
  <c r="L10" i="3"/>
  <c r="L11" i="3"/>
  <c r="L12" i="3"/>
  <c r="L13" i="3"/>
  <c r="L5" i="3" l="1"/>
  <c r="H4" i="6" l="1"/>
  <c r="F4" i="6"/>
  <c r="G95" i="18"/>
  <c r="G79" i="18"/>
  <c r="D3" i="7"/>
  <c r="L5" i="20"/>
  <c r="G64" i="18"/>
  <c r="E5" i="20"/>
  <c r="G9" i="18"/>
  <c r="G37" i="18"/>
  <c r="H4" i="3"/>
  <c r="F4" i="3"/>
  <c r="D4" i="3"/>
  <c r="J4" i="3" l="1"/>
  <c r="L44" i="3"/>
  <c r="L45" i="3"/>
  <c r="L46" i="3"/>
  <c r="L47" i="3"/>
  <c r="L48" i="3"/>
  <c r="L49" i="3"/>
  <c r="L50" i="3"/>
  <c r="L51" i="3"/>
  <c r="L52" i="3"/>
  <c r="G22" i="18"/>
  <c r="G14" i="19"/>
  <c r="E17" i="20"/>
  <c r="J4" i="6"/>
  <c r="E4" i="6"/>
  <c r="D4" i="6"/>
  <c r="A7" i="19"/>
  <c r="A8" i="19" s="1"/>
  <c r="A9" i="19" s="1"/>
  <c r="A10" i="19" s="1"/>
  <c r="A11" i="19" s="1"/>
  <c r="A12" i="19" s="1"/>
  <c r="G51" i="18" l="1"/>
  <c r="O7" i="18" l="1"/>
  <c r="E2" i="10" l="1"/>
  <c r="C13" i="1" s="1"/>
  <c r="O34" i="18"/>
  <c r="E12" i="17" l="1"/>
  <c r="D34" i="21" l="1"/>
  <c r="D13" i="21"/>
  <c r="C10" i="1" l="1"/>
  <c r="D4" i="4"/>
  <c r="D25" i="1" s="1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AH4" i="16"/>
  <c r="D2" i="15"/>
  <c r="C19" i="1" s="1"/>
  <c r="C18" i="1"/>
  <c r="D2" i="13"/>
  <c r="C17" i="1" s="1"/>
  <c r="D2" i="12"/>
  <c r="C16" i="1" s="1"/>
  <c r="D13" i="11"/>
  <c r="C15" i="1" s="1"/>
  <c r="D2" i="11"/>
  <c r="C14" i="1" s="1"/>
  <c r="E2" i="9"/>
  <c r="C12" i="1" s="1"/>
  <c r="F2" i="8"/>
  <c r="C11" i="1" s="1"/>
  <c r="K4" i="6"/>
  <c r="I4" i="6"/>
  <c r="D27" i="1"/>
  <c r="K4" i="5"/>
  <c r="J4" i="5"/>
  <c r="I4" i="5"/>
  <c r="H4" i="5"/>
  <c r="F4" i="5"/>
  <c r="E4" i="5"/>
  <c r="D4" i="5"/>
  <c r="D26" i="1" s="1"/>
  <c r="K4" i="4"/>
  <c r="J4" i="4"/>
  <c r="I4" i="4"/>
  <c r="H4" i="4"/>
  <c r="F4" i="4"/>
  <c r="E4" i="4"/>
  <c r="K4" i="3"/>
  <c r="I4" i="3"/>
  <c r="L4" i="3"/>
  <c r="D24" i="1"/>
  <c r="D4" i="2"/>
  <c r="D23" i="1" s="1"/>
  <c r="L4" i="2"/>
  <c r="K4" i="2"/>
  <c r="J4" i="2"/>
  <c r="I4" i="2"/>
  <c r="H4" i="2"/>
  <c r="G4" i="2"/>
  <c r="F4" i="2"/>
  <c r="M4" i="2" s="1"/>
  <c r="C5" i="1" s="1"/>
  <c r="E4" i="2"/>
  <c r="L4" i="5" l="1"/>
  <c r="C8" i="1" s="1"/>
  <c r="C6" i="1"/>
  <c r="L4" i="4"/>
  <c r="C7" i="1" s="1"/>
  <c r="L4" i="6"/>
  <c r="C9" i="1" s="1"/>
  <c r="D28" i="1"/>
  <c r="C20" i="1" l="1"/>
</calcChain>
</file>

<file path=xl/sharedStrings.xml><?xml version="1.0" encoding="utf-8"?>
<sst xmlns="http://schemas.openxmlformats.org/spreadsheetml/2006/main" count="794" uniqueCount="225">
  <si>
    <t>Ranks Petroleum Limited</t>
  </si>
  <si>
    <t>Petty Cash Bill Breakdown</t>
  </si>
  <si>
    <t>Bill Duration</t>
  </si>
  <si>
    <t>WH/Depot</t>
  </si>
  <si>
    <t xml:space="preserve">Sl. No. </t>
  </si>
  <si>
    <t>Purpose</t>
  </si>
  <si>
    <t>Amount (Tk.)</t>
  </si>
  <si>
    <t>B2B- IPP</t>
  </si>
  <si>
    <t>B2C</t>
  </si>
  <si>
    <t>B2B- Non Power</t>
  </si>
  <si>
    <t>Goods Transfer (Sending)</t>
  </si>
  <si>
    <t>Goods Transfer (Receiving)</t>
  </si>
  <si>
    <t>Warehouse Maintenance</t>
  </si>
  <si>
    <t>Utilities</t>
  </si>
  <si>
    <t>Printing</t>
  </si>
  <si>
    <t>Stationary</t>
  </si>
  <si>
    <t>Delivery Van Fuel &amp; Lubricant</t>
  </si>
  <si>
    <t>Delivery Van Maintenance</t>
  </si>
  <si>
    <t xml:space="preserve">Entertainment </t>
  </si>
  <si>
    <t>Food Allowance</t>
  </si>
  <si>
    <t>Conveyance</t>
  </si>
  <si>
    <t>WH to WH, WH to HO, WH to Shop etc.</t>
  </si>
  <si>
    <t>Security</t>
  </si>
  <si>
    <t>Total</t>
  </si>
  <si>
    <t>Unit</t>
  </si>
  <si>
    <t>Litre (L)</t>
  </si>
  <si>
    <t>B2B-IPP</t>
  </si>
  <si>
    <t>B2B-Non Power</t>
  </si>
  <si>
    <t>Goods Import (Receiving)</t>
  </si>
  <si>
    <t>Total (L)</t>
  </si>
  <si>
    <t>Prepared By</t>
  </si>
  <si>
    <t>Line Manager</t>
  </si>
  <si>
    <t>Internal Audit</t>
  </si>
  <si>
    <t>Approved By</t>
  </si>
  <si>
    <t>B2B - IPP</t>
  </si>
  <si>
    <t>Delivey Person's Expense</t>
  </si>
  <si>
    <t>Date</t>
  </si>
  <si>
    <t>DO No.</t>
  </si>
  <si>
    <t>Customer Name</t>
  </si>
  <si>
    <t>Volume (L)</t>
  </si>
  <si>
    <t>Delivery Vehicle Charge (Tk.)</t>
  </si>
  <si>
    <t>Courier Charge (Tk.)</t>
  </si>
  <si>
    <t>Labour Charge</t>
  </si>
  <si>
    <t>Helper Name</t>
  </si>
  <si>
    <t xml:space="preserve"> Conveyance</t>
  </si>
  <si>
    <t>Hotel Rent</t>
  </si>
  <si>
    <t>Food</t>
  </si>
  <si>
    <t>Others</t>
  </si>
  <si>
    <t>Labour Cost</t>
  </si>
  <si>
    <t>Transport Cost</t>
  </si>
  <si>
    <t>Helper Conveyance</t>
  </si>
  <si>
    <t>B2B Non Power</t>
  </si>
  <si>
    <t>Goods Transfer_Sending</t>
  </si>
  <si>
    <t>Goods Receiving</t>
  </si>
  <si>
    <t>WH/Depot Maintenance</t>
  </si>
  <si>
    <t>Description</t>
  </si>
  <si>
    <t>Amount</t>
  </si>
  <si>
    <t>Remarks</t>
  </si>
  <si>
    <t>Utilities Expense</t>
  </si>
  <si>
    <t>Utility Type</t>
  </si>
  <si>
    <t>Billing Month</t>
  </si>
  <si>
    <t>Printing Expense</t>
  </si>
  <si>
    <t>Qty</t>
  </si>
  <si>
    <t xml:space="preserve"> Stationary Expense</t>
  </si>
  <si>
    <t>Delivery Van Fuel &amp; Lubricants</t>
  </si>
  <si>
    <t>Desription</t>
  </si>
  <si>
    <t>Entertainment</t>
  </si>
  <si>
    <t>Duration/Date</t>
  </si>
  <si>
    <t>Employee Name</t>
  </si>
  <si>
    <t>Day</t>
  </si>
  <si>
    <t>Expense for Security Purpose</t>
  </si>
  <si>
    <t>Daily Basis Delivered &amp; Received Volume (L)</t>
  </si>
  <si>
    <t>Month Name:</t>
  </si>
  <si>
    <t>Item</t>
  </si>
  <si>
    <t>B2B IPP</t>
  </si>
  <si>
    <t>Goods Transfer (Received)</t>
  </si>
  <si>
    <t>WH/Depot Name:</t>
  </si>
  <si>
    <t>Sl. No.</t>
  </si>
  <si>
    <t>….................</t>
  </si>
  <si>
    <t>….....................</t>
  </si>
  <si>
    <t>…......................</t>
  </si>
  <si>
    <t>In-charge</t>
  </si>
  <si>
    <t>Checked By</t>
  </si>
  <si>
    <t>Employee Name:</t>
  </si>
  <si>
    <t>Position:</t>
  </si>
  <si>
    <t>From</t>
  </si>
  <si>
    <t>To</t>
  </si>
  <si>
    <t>Via</t>
  </si>
  <si>
    <t>Purpose/DO</t>
  </si>
  <si>
    <t>Labour Bill</t>
  </si>
  <si>
    <t>Bill (Others)</t>
  </si>
  <si>
    <t>Bogra Depot</t>
  </si>
  <si>
    <t>SL. No.</t>
  </si>
  <si>
    <t>Amount (BDT)</t>
  </si>
  <si>
    <t>Note:</t>
  </si>
  <si>
    <t>For  cctv camera wiring</t>
  </si>
  <si>
    <t>Electrician  Name:</t>
  </si>
  <si>
    <t>Md. Tariqul</t>
  </si>
  <si>
    <t>Mobile No:</t>
  </si>
  <si>
    <t>01796431852</t>
  </si>
  <si>
    <t>Depot Incharge</t>
  </si>
  <si>
    <t>Van hire to bring furniture</t>
  </si>
  <si>
    <t>Van Driver Name:</t>
  </si>
  <si>
    <t>Abdur Rahim</t>
  </si>
  <si>
    <t>01942-743481</t>
  </si>
  <si>
    <t>Cleaning Bill</t>
  </si>
  <si>
    <t>Service Provider Name:</t>
  </si>
  <si>
    <t>Rahim</t>
  </si>
  <si>
    <t>Food Bill (After Hours )</t>
  </si>
  <si>
    <t>Name</t>
  </si>
  <si>
    <t>Time</t>
  </si>
  <si>
    <t>Employee</t>
  </si>
  <si>
    <t>Food Bill (After Hours / Holiday)</t>
  </si>
  <si>
    <t>Bogura</t>
  </si>
  <si>
    <t>TO No.</t>
  </si>
  <si>
    <t>Executive &amp; Helper Name</t>
  </si>
  <si>
    <t>TO Number</t>
  </si>
  <si>
    <t>Helper</t>
  </si>
  <si>
    <t>Cumilla</t>
  </si>
  <si>
    <t>Palash</t>
  </si>
  <si>
    <t xml:space="preserve"> Helper</t>
  </si>
  <si>
    <t>Executive</t>
  </si>
  <si>
    <t>Food Bill After Work</t>
  </si>
  <si>
    <t>Remaks</t>
  </si>
  <si>
    <t>arif</t>
  </si>
  <si>
    <t>dipok</t>
  </si>
  <si>
    <t>shah alam</t>
  </si>
  <si>
    <t xml:space="preserve"> </t>
  </si>
  <si>
    <t>conveyance</t>
  </si>
  <si>
    <t>Cost: Transport,,Food,Conveyance</t>
  </si>
  <si>
    <t>purpose</t>
  </si>
  <si>
    <t>WH/Depot Name:Cumilla</t>
  </si>
  <si>
    <t>Head of SCM</t>
  </si>
  <si>
    <t>Dept. of F&amp;A</t>
  </si>
  <si>
    <t>depot</t>
  </si>
  <si>
    <t>delivery</t>
  </si>
  <si>
    <t>bus,auto,cng</t>
  </si>
  <si>
    <t>auto</t>
  </si>
  <si>
    <t>mini bus</t>
  </si>
  <si>
    <t>police fari cumilla</t>
  </si>
  <si>
    <t>b-bariya,tinlack pir,kosba</t>
  </si>
  <si>
    <t>kandirpar</t>
  </si>
  <si>
    <t>_______________</t>
  </si>
  <si>
    <t>TOTAL</t>
  </si>
  <si>
    <t>helper</t>
  </si>
  <si>
    <t>bus,auto</t>
  </si>
  <si>
    <t>S</t>
  </si>
  <si>
    <t>Depot</t>
  </si>
  <si>
    <t>Unloading</t>
  </si>
  <si>
    <t>unloading</t>
  </si>
  <si>
    <t>Cost: Conveyance,food</t>
  </si>
  <si>
    <t>sohel,arif,ahah alam</t>
  </si>
  <si>
    <t>helper,Executive</t>
  </si>
  <si>
    <t>23/12/2023 to 31/1/2023</t>
  </si>
  <si>
    <t>Electricity bill</t>
  </si>
  <si>
    <t>Previous unit-935,current unit-1008</t>
  </si>
  <si>
    <t>73 unit</t>
  </si>
  <si>
    <t>one month</t>
  </si>
  <si>
    <t>1-12-2023 T0 1-1-2024</t>
  </si>
  <si>
    <t>water bill</t>
  </si>
  <si>
    <t>Received</t>
  </si>
  <si>
    <t>shoyagazi,cumilla</t>
  </si>
  <si>
    <t>5 person food</t>
  </si>
  <si>
    <t>3 person food</t>
  </si>
  <si>
    <t>Goods Sending</t>
  </si>
  <si>
    <t xml:space="preserve">092965	</t>
  </si>
  <si>
    <t xml:space="preserve">M/S MA MOTORS	</t>
  </si>
  <si>
    <t xml:space="preserve">092966	</t>
  </si>
  <si>
    <t>shah alam &amp; tanbir</t>
  </si>
  <si>
    <t>tamin</t>
  </si>
  <si>
    <t>labour bill</t>
  </si>
  <si>
    <t>1.10.2025- 10.10.2025</t>
  </si>
  <si>
    <t>Bill No: Cum/95/October'2025</t>
  </si>
  <si>
    <t>Month:  October-2025</t>
  </si>
  <si>
    <t>courier,labour bill</t>
  </si>
  <si>
    <t xml:space="preserve">092956	</t>
  </si>
  <si>
    <t xml:space="preserve">Alam Brothers	</t>
  </si>
  <si>
    <t xml:space="preserve">092824	</t>
  </si>
  <si>
    <t xml:space="preserve">092917	</t>
  </si>
  <si>
    <t>M/S Shava Engineering Automobile</t>
  </si>
  <si>
    <t xml:space="preserve">092782	</t>
  </si>
  <si>
    <t xml:space="preserve">	
M A Enterprise</t>
  </si>
  <si>
    <t xml:space="preserve">092974	</t>
  </si>
  <si>
    <t>The ACME Laboratories Ltd</t>
  </si>
  <si>
    <t>shah alam &amp; tamim</t>
  </si>
  <si>
    <t>Ranpur Depot</t>
  </si>
  <si>
    <t>cumilla depot</t>
  </si>
  <si>
    <t>shah alam &amp; saiful</t>
  </si>
  <si>
    <t>sohel</t>
  </si>
  <si>
    <t xml:space="preserve">092863	</t>
  </si>
  <si>
    <t xml:space="preserve">092888	</t>
  </si>
  <si>
    <t xml:space="preserve">092933	</t>
  </si>
  <si>
    <t xml:space="preserve">092997	</t>
  </si>
  <si>
    <t>M/S Fatema Motors</t>
  </si>
  <si>
    <t xml:space="preserve">	
M/S Fatema Motors</t>
  </si>
  <si>
    <t>Jogajog Automobiles</t>
  </si>
  <si>
    <t>MOZUMDER MARKET PODDAR BAZAR BISHO ROAD</t>
  </si>
  <si>
    <t>auto/cng/mini bus</t>
  </si>
  <si>
    <t>Auto/CNG/ bus</t>
  </si>
  <si>
    <t xml:space="preserve">Sarail, Vishwa Road, B-Baria,ashuganj. b baria	</t>
  </si>
  <si>
    <t xml:space="preserve">	
Gudam quarter, Feni,Ashfak plaza, 768 main road, maijdee bazar, Noakhali,MOZUMDER MARKET PODDAR BAZAR BISHO ROAD</t>
  </si>
  <si>
    <t>TRUCK</t>
  </si>
  <si>
    <t xml:space="preserve">093057	</t>
  </si>
  <si>
    <t xml:space="preserve">093117	</t>
  </si>
  <si>
    <t xml:space="preserve">093094	</t>
  </si>
  <si>
    <t>NAIM TYRE AND LUBE HOUSE</t>
  </si>
  <si>
    <t xml:space="preserve">Nur Auto	</t>
  </si>
  <si>
    <t>Speed Up,Chandpur</t>
  </si>
  <si>
    <t xml:space="preserve">	
station road Cumilla	</t>
  </si>
  <si>
    <t>Stadium market,Sadar,Chandpur,Boggobondu road,Sadar,Chandpur,</t>
  </si>
  <si>
    <t>auto/cng</t>
  </si>
  <si>
    <t>Chatkhil bazar, Chatkhil, Noakhali</t>
  </si>
  <si>
    <t>Auto/CNG/ Bus</t>
  </si>
  <si>
    <t>shah alam &amp; sohel</t>
  </si>
  <si>
    <t>fire extinguisher refilling</t>
  </si>
  <si>
    <t xml:space="preserve">093244	</t>
  </si>
  <si>
    <t xml:space="preserve">093221	</t>
  </si>
  <si>
    <t>tamim,sohel,arif,shah alam</t>
  </si>
  <si>
    <t>station road</t>
  </si>
  <si>
    <t>shah alam &amp; sohel &amp; tamim</t>
  </si>
  <si>
    <t>10498,10499,10495,10511</t>
  </si>
  <si>
    <t>courier</t>
  </si>
  <si>
    <t>petty cash bill</t>
  </si>
  <si>
    <t>Since the helper has resigned, we have arranged a temporary helper to continue the regular work</t>
  </si>
  <si>
    <t xml:space="preserve">Nehar Haluapara Mosjid,tomsom bridge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</si>
</sst>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[$-409]d\-mmm\-yy;@"/>
    <numFmt numFmtId="165" formatCode="[$-409]d\-mmm\-yyyy;@"/>
  </numFmts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4"/>
      <color theme="1"/>
      <name val="Times New Roman"/>
      <family val="1"/>
    </font>
    <font>
      <sz val="18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8"/>
      <color theme="1"/>
      <name val="Arial"/>
      <family val="2"/>
    </font>
    <font>
      <sz val="11"/>
      <color theme="1"/>
      <name val="Times New Roman"/>
      <family val="1"/>
    </font>
    <font>
      <sz val="16"/>
      <color theme="1"/>
      <name val="Calibri"/>
      <family val="2"/>
      <scheme val="minor"/>
    </font>
    <font>
      <sz val="11"/>
      <color theme="1"/>
      <name val="Calibri Light"/>
      <family val="2"/>
      <scheme val="major"/>
    </font>
    <font>
      <sz val="16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b/>
      <sz val="14"/>
      <color theme="1"/>
      <name val="Calibri"/>
      <family val="2"/>
      <scheme val="minor"/>
    </font>
    <font>
      <b/>
      <sz val="11"/>
      <name val="Calibri Light"/>
      <family val="2"/>
      <scheme val="maj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1"/>
      <color theme="1" tint="4.9989318521683403E-2"/>
      <name val="Calibri"/>
      <family val="2"/>
      <scheme val="minor"/>
    </font>
    <font>
      <sz val="11"/>
      <color theme="1" tint="4.9989318521683403E-2"/>
      <name val="Calibri Light"/>
      <family val="2"/>
      <scheme val="major"/>
    </font>
    <font>
      <b/>
      <sz val="2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sz val="8"/>
      <color theme="1"/>
      <name val="Arial"/>
      <family val="2"/>
    </font>
    <font>
      <b/>
      <sz val="14"/>
      <color theme="1"/>
      <name val="Arial"/>
      <family val="2"/>
    </font>
    <font>
      <b/>
      <sz val="16"/>
      <color theme="1"/>
      <name val="Arial"/>
      <family val="2"/>
    </font>
    <font>
      <b/>
      <sz val="14"/>
      <color theme="1"/>
      <name val="Times New Roman"/>
      <family val="1"/>
    </font>
    <font>
      <b/>
      <sz val="16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20">
    <xf numFmtId="0" fontId="0" fillId="0" borderId="0" xfId="0"/>
    <xf numFmtId="0" fontId="5" fillId="0" borderId="3" xfId="0" applyFont="1" applyBorder="1" applyAlignment="1" applyProtection="1">
      <alignment horizontal="center" vertical="center"/>
      <protection locked="0"/>
    </xf>
    <xf numFmtId="43" fontId="5" fillId="0" borderId="3" xfId="1" applyFont="1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left" vertical="center"/>
      <protection locked="0"/>
    </xf>
    <xf numFmtId="0" fontId="5" fillId="0" borderId="3" xfId="0" applyFont="1" applyBorder="1" applyAlignment="1" applyProtection="1">
      <alignment horizontal="right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8" fillId="2" borderId="0" xfId="0" applyFont="1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9" fillId="0" borderId="13" xfId="0" applyFont="1" applyBorder="1" applyAlignment="1" applyProtection="1">
      <alignment horizontal="center" vertical="center"/>
      <protection locked="0"/>
    </xf>
    <xf numFmtId="0" fontId="9" fillId="0" borderId="13" xfId="0" applyFont="1" applyBorder="1" applyAlignment="1" applyProtection="1">
      <alignment horizontal="center" vertical="center" wrapText="1"/>
      <protection locked="0"/>
    </xf>
    <xf numFmtId="0" fontId="2" fillId="3" borderId="14" xfId="0" applyFont="1" applyFill="1" applyBorder="1" applyAlignment="1" applyProtection="1">
      <alignment horizontal="center" vertical="center"/>
      <protection hidden="1"/>
    </xf>
    <xf numFmtId="0" fontId="2" fillId="3" borderId="15" xfId="0" applyFont="1" applyFill="1" applyBorder="1" applyAlignment="1" applyProtection="1">
      <alignment horizontal="center" vertical="center"/>
      <protection hidden="1"/>
    </xf>
    <xf numFmtId="0" fontId="2" fillId="3" borderId="15" xfId="0" applyFont="1" applyFill="1" applyBorder="1" applyAlignment="1" applyProtection="1">
      <alignment horizontal="center" vertical="center" wrapText="1"/>
      <protection hidden="1"/>
    </xf>
    <xf numFmtId="0" fontId="2" fillId="3" borderId="16" xfId="0" applyFont="1" applyFill="1" applyBorder="1" applyAlignment="1" applyProtection="1">
      <alignment horizontal="center" vertical="center"/>
      <protection hidden="1"/>
    </xf>
    <xf numFmtId="0" fontId="2" fillId="3" borderId="17" xfId="0" applyFont="1" applyFill="1" applyBorder="1" applyAlignment="1" applyProtection="1">
      <alignment horizontal="center" vertical="center"/>
      <protection hidden="1"/>
    </xf>
    <xf numFmtId="15" fontId="0" fillId="0" borderId="18" xfId="0" applyNumberFormat="1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10" fillId="0" borderId="3" xfId="0" applyFont="1" applyBorder="1" applyAlignment="1" applyProtection="1">
      <alignment horizontal="center" vertical="center"/>
      <protection locked="0"/>
    </xf>
    <xf numFmtId="164" fontId="10" fillId="2" borderId="3" xfId="0" applyNumberFormat="1" applyFont="1" applyFill="1" applyBorder="1" applyAlignment="1" applyProtection="1">
      <alignment vertical="center"/>
      <protection locked="0"/>
    </xf>
    <xf numFmtId="0" fontId="10" fillId="0" borderId="3" xfId="0" applyFont="1" applyBorder="1" applyAlignment="1" applyProtection="1">
      <alignment vertical="center"/>
      <protection locked="0"/>
    </xf>
    <xf numFmtId="0" fontId="10" fillId="0" borderId="19" xfId="0" applyFont="1" applyBorder="1" applyAlignment="1" applyProtection="1">
      <alignment vertical="center"/>
      <protection locked="0"/>
    </xf>
    <xf numFmtId="0" fontId="10" fillId="0" borderId="3" xfId="0" applyFont="1" applyBorder="1" applyAlignment="1" applyProtection="1">
      <alignment horizontal="center" vertical="center" wrapText="1"/>
      <protection locked="0"/>
    </xf>
    <xf numFmtId="164" fontId="11" fillId="4" borderId="13" xfId="0" applyNumberFormat="1" applyFont="1" applyFill="1" applyBorder="1" applyAlignment="1">
      <alignment horizontal="center" vertical="center"/>
    </xf>
    <xf numFmtId="0" fontId="11" fillId="4" borderId="13" xfId="0" applyFont="1" applyFill="1" applyBorder="1" applyAlignment="1">
      <alignment horizontal="center" vertical="center"/>
    </xf>
    <xf numFmtId="15" fontId="12" fillId="0" borderId="3" xfId="0" applyNumberFormat="1" applyFont="1" applyBorder="1" applyAlignment="1" applyProtection="1">
      <alignment horizontal="left" wrapText="1"/>
      <protection locked="0"/>
    </xf>
    <xf numFmtId="0" fontId="13" fillId="0" borderId="3" xfId="0" applyFont="1" applyBorder="1" applyAlignment="1" applyProtection="1">
      <alignment wrapText="1"/>
      <protection locked="0"/>
    </xf>
    <xf numFmtId="0" fontId="13" fillId="0" borderId="3" xfId="0" applyFont="1" applyBorder="1" applyAlignment="1" applyProtection="1">
      <alignment horizontal="center" wrapText="1"/>
      <protection locked="0"/>
    </xf>
    <xf numFmtId="0" fontId="14" fillId="0" borderId="3" xfId="0" applyFont="1" applyBorder="1" applyAlignment="1" applyProtection="1">
      <alignment horizontal="center" wrapText="1"/>
      <protection locked="0"/>
    </xf>
    <xf numFmtId="0" fontId="15" fillId="0" borderId="3" xfId="0" applyFont="1" applyBorder="1" applyAlignment="1" applyProtection="1">
      <alignment horizontal="center" wrapText="1"/>
      <protection locked="0"/>
    </xf>
    <xf numFmtId="0" fontId="16" fillId="0" borderId="3" xfId="0" applyFont="1" applyBorder="1" applyAlignment="1" applyProtection="1">
      <alignment horizontal="center" vertical="center"/>
      <protection locked="0"/>
    </xf>
    <xf numFmtId="0" fontId="11" fillId="0" borderId="3" xfId="0" applyFont="1" applyBorder="1" applyAlignment="1" applyProtection="1">
      <alignment horizontal="center" vertical="center"/>
      <protection locked="0"/>
    </xf>
    <xf numFmtId="0" fontId="12" fillId="0" borderId="3" xfId="0" applyFont="1" applyBorder="1" applyAlignment="1" applyProtection="1">
      <alignment horizontal="center" vertical="center"/>
      <protection locked="0"/>
    </xf>
    <xf numFmtId="0" fontId="13" fillId="5" borderId="3" xfId="0" applyFont="1" applyFill="1" applyBorder="1" applyAlignment="1" applyProtection="1">
      <alignment horizontal="center" wrapText="1"/>
      <protection locked="0"/>
    </xf>
    <xf numFmtId="0" fontId="16" fillId="0" borderId="3" xfId="0" applyFont="1" applyBorder="1" applyAlignment="1" applyProtection="1">
      <alignment horizontal="center"/>
      <protection locked="0"/>
    </xf>
    <xf numFmtId="0" fontId="11" fillId="0" borderId="3" xfId="0" applyFont="1" applyBorder="1" applyAlignment="1" applyProtection="1">
      <alignment horizontal="center"/>
      <protection locked="0"/>
    </xf>
    <xf numFmtId="0" fontId="16" fillId="0" borderId="3" xfId="0" applyFont="1" applyBorder="1" applyProtection="1">
      <protection locked="0"/>
    </xf>
    <xf numFmtId="0" fontId="12" fillId="0" borderId="3" xfId="0" applyFont="1" applyBorder="1" applyProtection="1">
      <protection locked="0"/>
    </xf>
    <xf numFmtId="0" fontId="11" fillId="0" borderId="3" xfId="0" applyFont="1" applyBorder="1" applyProtection="1">
      <protection locked="0"/>
    </xf>
    <xf numFmtId="164" fontId="0" fillId="2" borderId="0" xfId="0" applyNumberFormat="1" applyFill="1" applyProtection="1">
      <protection locked="0"/>
    </xf>
    <xf numFmtId="0" fontId="0" fillId="2" borderId="0" xfId="0" applyFill="1" applyProtection="1">
      <protection locked="0"/>
    </xf>
    <xf numFmtId="0" fontId="0" fillId="0" borderId="0" xfId="0" applyAlignment="1">
      <alignment horizontal="center"/>
    </xf>
    <xf numFmtId="0" fontId="2" fillId="0" borderId="3" xfId="0" applyFont="1" applyBorder="1" applyAlignment="1">
      <alignment horizontal="center"/>
    </xf>
    <xf numFmtId="164" fontId="2" fillId="3" borderId="13" xfId="0" applyNumberFormat="1" applyFont="1" applyFill="1" applyBorder="1" applyAlignment="1" applyProtection="1">
      <alignment horizontal="center"/>
      <protection locked="0"/>
    </xf>
    <xf numFmtId="0" fontId="2" fillId="3" borderId="21" xfId="0" applyFont="1" applyFill="1" applyBorder="1" applyAlignment="1" applyProtection="1">
      <alignment horizontal="center"/>
      <protection locked="0"/>
    </xf>
    <xf numFmtId="0" fontId="2" fillId="3" borderId="13" xfId="0" applyFont="1" applyFill="1" applyBorder="1" applyAlignment="1" applyProtection="1">
      <alignment horizontal="center"/>
      <protection locked="0"/>
    </xf>
    <xf numFmtId="164" fontId="0" fillId="0" borderId="3" xfId="0" applyNumberFormat="1" applyBorder="1" applyAlignment="1" applyProtection="1">
      <alignment wrapText="1"/>
      <protection locked="0"/>
    </xf>
    <xf numFmtId="0" fontId="0" fillId="2" borderId="3" xfId="0" applyFill="1" applyBorder="1" applyAlignment="1" applyProtection="1">
      <alignment horizontal="left" vertical="center" wrapText="1"/>
      <protection locked="0"/>
    </xf>
    <xf numFmtId="0" fontId="0" fillId="0" borderId="3" xfId="0" applyBorder="1" applyProtection="1">
      <protection locked="0"/>
    </xf>
    <xf numFmtId="0" fontId="0" fillId="0" borderId="3" xfId="0" applyBorder="1" applyAlignment="1" applyProtection="1">
      <alignment horizontal="center"/>
      <protection locked="0"/>
    </xf>
    <xf numFmtId="164" fontId="0" fillId="0" borderId="3" xfId="0" applyNumberFormat="1" applyBorder="1" applyProtection="1">
      <protection locked="0"/>
    </xf>
    <xf numFmtId="0" fontId="0" fillId="0" borderId="3" xfId="0" applyBorder="1" applyAlignment="1" applyProtection="1">
      <alignment wrapText="1"/>
      <protection locked="0"/>
    </xf>
    <xf numFmtId="0" fontId="17" fillId="2" borderId="0" xfId="0" applyFont="1" applyFill="1" applyAlignment="1" applyProtection="1">
      <alignment vertical="center"/>
      <protection locked="0"/>
    </xf>
    <xf numFmtId="0" fontId="0" fillId="0" borderId="0" xfId="0" applyAlignment="1" applyProtection="1">
      <alignment horizont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164" fontId="2" fillId="3" borderId="3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64" fontId="2" fillId="0" borderId="3" xfId="0" applyNumberFormat="1" applyFont="1" applyBorder="1" applyAlignment="1" applyProtection="1">
      <alignment horizontal="center"/>
      <protection locked="0"/>
    </xf>
    <xf numFmtId="0" fontId="2" fillId="0" borderId="3" xfId="0" applyFont="1" applyBorder="1" applyAlignment="1" applyProtection="1">
      <alignment horizontal="center"/>
      <protection locked="0"/>
    </xf>
    <xf numFmtId="0" fontId="18" fillId="0" borderId="0" xfId="0" applyFont="1" applyProtection="1">
      <protection locked="0"/>
    </xf>
    <xf numFmtId="0" fontId="19" fillId="0" borderId="0" xfId="0" applyFont="1" applyAlignment="1" applyProtection="1">
      <alignment horizontal="center" vertical="center"/>
      <protection locked="0"/>
    </xf>
    <xf numFmtId="0" fontId="20" fillId="0" borderId="0" xfId="0" applyFont="1" applyAlignment="1" applyProtection="1">
      <alignment horizontal="center" vertical="center"/>
      <protection locked="0"/>
    </xf>
    <xf numFmtId="0" fontId="21" fillId="6" borderId="3" xfId="0" applyFont="1" applyFill="1" applyBorder="1" applyAlignment="1">
      <alignment horizontal="center" vertical="center"/>
    </xf>
    <xf numFmtId="0" fontId="20" fillId="6" borderId="3" xfId="0" applyFont="1" applyFill="1" applyBorder="1" applyAlignment="1">
      <alignment horizontal="center" vertical="center"/>
    </xf>
    <xf numFmtId="164" fontId="22" fillId="0" borderId="13" xfId="0" applyNumberFormat="1" applyFont="1" applyBorder="1" applyAlignment="1" applyProtection="1">
      <alignment horizontal="center"/>
      <protection locked="0"/>
    </xf>
    <xf numFmtId="0" fontId="22" fillId="0" borderId="13" xfId="0" applyFont="1" applyBorder="1" applyAlignment="1" applyProtection="1">
      <alignment horizontal="center"/>
      <protection locked="0"/>
    </xf>
    <xf numFmtId="164" fontId="18" fillId="0" borderId="3" xfId="0" applyNumberFormat="1" applyFont="1" applyBorder="1" applyProtection="1">
      <protection locked="0"/>
    </xf>
    <xf numFmtId="0" fontId="18" fillId="0" borderId="3" xfId="0" applyFont="1" applyBorder="1" applyProtection="1">
      <protection locked="0"/>
    </xf>
    <xf numFmtId="0" fontId="22" fillId="0" borderId="3" xfId="0" applyFont="1" applyBorder="1" applyAlignment="1" applyProtection="1">
      <alignment horizontal="center" vertical="center"/>
      <protection locked="0"/>
    </xf>
    <xf numFmtId="0" fontId="18" fillId="0" borderId="3" xfId="0" applyFont="1" applyBorder="1" applyAlignment="1" applyProtection="1">
      <alignment horizontal="center" vertical="center"/>
      <protection locked="0"/>
    </xf>
    <xf numFmtId="0" fontId="18" fillId="0" borderId="3" xfId="0" applyFon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2" fillId="6" borderId="3" xfId="0" applyFont="1" applyFill="1" applyBorder="1" applyAlignment="1">
      <alignment horizontal="center"/>
    </xf>
    <xf numFmtId="0" fontId="2" fillId="7" borderId="3" xfId="0" applyFont="1" applyFill="1" applyBorder="1" applyAlignment="1" applyProtection="1">
      <alignment horizontal="center"/>
      <protection locked="0"/>
    </xf>
    <xf numFmtId="0" fontId="2" fillId="7" borderId="19" xfId="0" applyFont="1" applyFill="1" applyBorder="1" applyAlignment="1" applyProtection="1">
      <alignment horizontal="center"/>
      <protection locked="0"/>
    </xf>
    <xf numFmtId="0" fontId="2" fillId="7" borderId="2" xfId="0" applyFont="1" applyFill="1" applyBorder="1" applyAlignment="1" applyProtection="1">
      <alignment horizontal="center"/>
      <protection locked="0"/>
    </xf>
    <xf numFmtId="0" fontId="20" fillId="0" borderId="0" xfId="0" applyFont="1" applyAlignment="1" applyProtection="1">
      <alignment horizontal="center"/>
      <protection locked="0"/>
    </xf>
    <xf numFmtId="0" fontId="23" fillId="3" borderId="13" xfId="0" applyFont="1" applyFill="1" applyBorder="1" applyAlignment="1">
      <alignment horizontal="center" vertical="center"/>
    </xf>
    <xf numFmtId="164" fontId="22" fillId="7" borderId="3" xfId="0" applyNumberFormat="1" applyFont="1" applyFill="1" applyBorder="1" applyAlignment="1" applyProtection="1">
      <alignment horizontal="center"/>
      <protection locked="0"/>
    </xf>
    <xf numFmtId="0" fontId="22" fillId="7" borderId="3" xfId="0" applyFont="1" applyFill="1" applyBorder="1" applyAlignment="1" applyProtection="1">
      <alignment horizontal="center"/>
      <protection locked="0"/>
    </xf>
    <xf numFmtId="0" fontId="18" fillId="2" borderId="3" xfId="0" applyFont="1" applyFill="1" applyBorder="1" applyAlignment="1" applyProtection="1">
      <alignment horizontal="center" vertical="center"/>
      <protection locked="0"/>
    </xf>
    <xf numFmtId="0" fontId="22" fillId="2" borderId="3" xfId="0" applyFont="1" applyFill="1" applyBorder="1" applyAlignment="1" applyProtection="1">
      <alignment horizontal="center" vertical="center"/>
      <protection locked="0"/>
    </xf>
    <xf numFmtId="164" fontId="18" fillId="0" borderId="0" xfId="0" applyNumberFormat="1" applyFont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Alignment="1" applyProtection="1">
      <alignment horizontal="right"/>
      <protection locked="0"/>
    </xf>
    <xf numFmtId="0" fontId="2" fillId="4" borderId="3" xfId="0" applyFont="1" applyFill="1" applyBorder="1" applyAlignment="1">
      <alignment horizontal="center"/>
    </xf>
    <xf numFmtId="164" fontId="2" fillId="8" borderId="3" xfId="0" applyNumberFormat="1" applyFont="1" applyFill="1" applyBorder="1" applyAlignment="1" applyProtection="1">
      <alignment horizontal="center"/>
      <protection locked="0"/>
    </xf>
    <xf numFmtId="0" fontId="2" fillId="8" borderId="3" xfId="0" applyFont="1" applyFill="1" applyBorder="1" applyAlignment="1" applyProtection="1">
      <alignment horizontal="center"/>
      <protection locked="0"/>
    </xf>
    <xf numFmtId="0" fontId="18" fillId="0" borderId="3" xfId="0" applyFont="1" applyBorder="1" applyAlignment="1" applyProtection="1">
      <alignment horizontal="left"/>
      <protection locked="0"/>
    </xf>
    <xf numFmtId="0" fontId="0" fillId="0" borderId="3" xfId="0" applyBorder="1" applyAlignment="1" applyProtection="1">
      <alignment horizontal="right" vertical="center"/>
      <protection locked="0"/>
    </xf>
    <xf numFmtId="0" fontId="0" fillId="0" borderId="3" xfId="0" applyBorder="1" applyAlignment="1" applyProtection="1">
      <alignment horizontal="left"/>
      <protection locked="0"/>
    </xf>
    <xf numFmtId="0" fontId="0" fillId="0" borderId="3" xfId="0" applyBorder="1" applyAlignment="1" applyProtection="1">
      <alignment horizontal="right"/>
      <protection locked="0"/>
    </xf>
    <xf numFmtId="0" fontId="25" fillId="4" borderId="3" xfId="0" applyFont="1" applyFill="1" applyBorder="1" applyAlignment="1">
      <alignment horizontal="center"/>
    </xf>
    <xf numFmtId="0" fontId="22" fillId="8" borderId="3" xfId="0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4" borderId="3" xfId="0" applyFont="1" applyFill="1" applyBorder="1" applyAlignment="1" applyProtection="1">
      <alignment horizontal="center" vertical="center"/>
      <protection locked="0"/>
    </xf>
    <xf numFmtId="0" fontId="0" fillId="0" borderId="3" xfId="0" applyBorder="1"/>
    <xf numFmtId="0" fontId="26" fillId="0" borderId="0" xfId="0" applyFont="1"/>
    <xf numFmtId="0" fontId="26" fillId="0" borderId="7" xfId="0" applyFont="1" applyBorder="1"/>
    <xf numFmtId="0" fontId="0" fillId="0" borderId="6" xfId="0" applyBorder="1"/>
    <xf numFmtId="0" fontId="0" fillId="0" borderId="7" xfId="0" applyBorder="1"/>
    <xf numFmtId="0" fontId="2" fillId="0" borderId="5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26" fillId="0" borderId="11" xfId="0" applyFont="1" applyBorder="1" applyAlignment="1">
      <alignment horizontal="left" vertical="center"/>
    </xf>
    <xf numFmtId="0" fontId="26" fillId="0" borderId="12" xfId="0" applyFont="1" applyBorder="1" applyAlignment="1">
      <alignment horizontal="center" vertical="center"/>
    </xf>
    <xf numFmtId="0" fontId="26" fillId="0" borderId="27" xfId="0" applyFont="1" applyBorder="1"/>
    <xf numFmtId="0" fontId="2" fillId="0" borderId="5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7" xfId="0" applyFont="1" applyBorder="1"/>
    <xf numFmtId="0" fontId="0" fillId="0" borderId="11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/>
    <xf numFmtId="0" fontId="0" fillId="0" borderId="27" xfId="0" applyBorder="1"/>
    <xf numFmtId="0" fontId="24" fillId="0" borderId="0" xfId="0" applyFont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right"/>
    </xf>
    <xf numFmtId="0" fontId="2" fillId="0" borderId="19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vertical="center"/>
    </xf>
    <xf numFmtId="43" fontId="4" fillId="2" borderId="3" xfId="1" applyFont="1" applyFill="1" applyBorder="1" applyAlignment="1" applyProtection="1">
      <alignment horizontal="center" vertical="center" wrapText="1"/>
      <protection locked="0"/>
    </xf>
    <xf numFmtId="164" fontId="10" fillId="0" borderId="3" xfId="0" applyNumberFormat="1" applyFont="1" applyBorder="1" applyAlignment="1" applyProtection="1">
      <alignment horizontal="center" vertical="center" wrapText="1"/>
      <protection locked="0"/>
    </xf>
    <xf numFmtId="0" fontId="0" fillId="0" borderId="28" xfId="0" applyBorder="1" applyAlignment="1">
      <alignment horizontal="center"/>
    </xf>
    <xf numFmtId="164" fontId="0" fillId="0" borderId="0" xfId="0" applyNumberFormat="1"/>
    <xf numFmtId="0" fontId="0" fillId="0" borderId="29" xfId="0" applyBorder="1"/>
    <xf numFmtId="0" fontId="2" fillId="0" borderId="3" xfId="0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164" fontId="0" fillId="0" borderId="0" xfId="0" applyNumberFormat="1" applyAlignment="1">
      <alignment horizontal="right"/>
    </xf>
    <xf numFmtId="0" fontId="0" fillId="0" borderId="28" xfId="0" applyBorder="1" applyAlignment="1">
      <alignment horizontal="left"/>
    </xf>
    <xf numFmtId="49" fontId="0" fillId="0" borderId="0" xfId="0" applyNumberFormat="1"/>
    <xf numFmtId="0" fontId="0" fillId="0" borderId="30" xfId="0" applyBorder="1" applyAlignment="1">
      <alignment horizontal="center"/>
    </xf>
    <xf numFmtId="164" fontId="0" fillId="0" borderId="31" xfId="0" applyNumberFormat="1" applyBorder="1"/>
    <xf numFmtId="0" fontId="0" fillId="0" borderId="31" xfId="0" applyBorder="1"/>
    <xf numFmtId="0" fontId="0" fillId="0" borderId="32" xfId="0" applyBorder="1"/>
    <xf numFmtId="0" fontId="0" fillId="0" borderId="6" xfId="0" applyBorder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0" fillId="0" borderId="11" xfId="0" applyBorder="1" applyAlignment="1">
      <alignment horizontal="center"/>
    </xf>
    <xf numFmtId="164" fontId="0" fillId="0" borderId="12" xfId="0" applyNumberFormat="1" applyBorder="1"/>
    <xf numFmtId="0" fontId="0" fillId="0" borderId="6" xfId="0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7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19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4" fontId="0" fillId="0" borderId="0" xfId="0" applyNumberFormat="1" applyAlignment="1">
      <alignment vertical="center"/>
    </xf>
    <xf numFmtId="164" fontId="0" fillId="0" borderId="8" xfId="0" applyNumberForma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 applyAlignment="1" applyProtection="1">
      <alignment horizontal="center" vertical="center"/>
      <protection locked="0"/>
    </xf>
    <xf numFmtId="41" fontId="6" fillId="0" borderId="3" xfId="1" applyNumberFormat="1" applyFont="1" applyBorder="1" applyAlignment="1" applyProtection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64" fontId="26" fillId="0" borderId="12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/>
    </xf>
    <xf numFmtId="0" fontId="13" fillId="0" borderId="3" xfId="0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164" fontId="2" fillId="0" borderId="0" xfId="0" applyNumberFormat="1" applyFont="1"/>
    <xf numFmtId="49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/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164" fontId="0" fillId="0" borderId="12" xfId="0" applyNumberFormat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8" borderId="3" xfId="0" applyFont="1" applyFill="1" applyBorder="1" applyAlignment="1" applyProtection="1">
      <alignment horizontal="center" vertical="center"/>
      <protection locked="0"/>
    </xf>
    <xf numFmtId="0" fontId="18" fillId="0" borderId="3" xfId="0" applyFont="1" applyBorder="1" applyAlignment="1" applyProtection="1">
      <alignment horizontal="center" vertical="center" wrapText="1"/>
      <protection locked="0"/>
    </xf>
    <xf numFmtId="164" fontId="0" fillId="0" borderId="3" xfId="0" applyNumberFormat="1" applyBorder="1" applyAlignment="1" applyProtection="1">
      <alignment horizontal="center"/>
      <protection locked="0"/>
    </xf>
    <xf numFmtId="0" fontId="0" fillId="0" borderId="13" xfId="0" applyBorder="1" applyAlignment="1">
      <alignment vertical="center"/>
    </xf>
    <xf numFmtId="0" fontId="2" fillId="0" borderId="28" xfId="0" applyFont="1" applyBorder="1" applyAlignment="1">
      <alignment horizontal="center" vertical="center"/>
    </xf>
    <xf numFmtId="0" fontId="12" fillId="2" borderId="3" xfId="0" applyFont="1" applyFill="1" applyBorder="1" applyAlignment="1" applyProtection="1">
      <alignment horizontal="center" vertical="center"/>
      <protection locked="0"/>
    </xf>
    <xf numFmtId="0" fontId="29" fillId="0" borderId="3" xfId="0" applyFont="1" applyBorder="1" applyAlignment="1" applyProtection="1">
      <alignment horizontal="center"/>
      <protection locked="0"/>
    </xf>
    <xf numFmtId="165" fontId="0" fillId="0" borderId="3" xfId="0" applyNumberFormat="1" applyBorder="1" applyAlignment="1">
      <alignment horizontal="center" vertical="center"/>
    </xf>
    <xf numFmtId="164" fontId="30" fillId="0" borderId="3" xfId="0" applyNumberFormat="1" applyFont="1" applyBorder="1" applyAlignment="1" applyProtection="1">
      <alignment wrapText="1"/>
      <protection locked="0"/>
    </xf>
    <xf numFmtId="0" fontId="30" fillId="2" borderId="3" xfId="0" applyFont="1" applyFill="1" applyBorder="1" applyAlignment="1" applyProtection="1">
      <alignment horizontal="left" vertical="center" wrapText="1"/>
      <protection locked="0"/>
    </xf>
    <xf numFmtId="0" fontId="30" fillId="0" borderId="3" xfId="0" applyFont="1" applyBorder="1" applyProtection="1">
      <protection locked="0"/>
    </xf>
    <xf numFmtId="0" fontId="30" fillId="0" borderId="3" xfId="0" applyFont="1" applyBorder="1" applyAlignment="1" applyProtection="1">
      <alignment horizontal="center"/>
      <protection locked="0"/>
    </xf>
    <xf numFmtId="164" fontId="31" fillId="0" borderId="3" xfId="0" applyNumberFormat="1" applyFont="1" applyBorder="1" applyProtection="1">
      <protection locked="0"/>
    </xf>
    <xf numFmtId="0" fontId="31" fillId="0" borderId="3" xfId="0" applyFont="1" applyBorder="1" applyProtection="1">
      <protection locked="0"/>
    </xf>
    <xf numFmtId="0" fontId="31" fillId="0" borderId="3" xfId="0" applyFont="1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164" fontId="0" fillId="0" borderId="3" xfId="0" applyNumberFormat="1" applyBorder="1"/>
    <xf numFmtId="165" fontId="18" fillId="0" borderId="3" xfId="0" applyNumberFormat="1" applyFont="1" applyBorder="1" applyProtection="1">
      <protection locked="0"/>
    </xf>
    <xf numFmtId="0" fontId="2" fillId="0" borderId="13" xfId="0" applyFon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64" fontId="2" fillId="0" borderId="0" xfId="0" applyNumberFormat="1" applyFont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0" fontId="26" fillId="0" borderId="6" xfId="0" applyFont="1" applyBorder="1"/>
    <xf numFmtId="165" fontId="0" fillId="0" borderId="3" xfId="0" applyNumberFormat="1" applyBorder="1"/>
    <xf numFmtId="165" fontId="33" fillId="9" borderId="3" xfId="0" applyNumberFormat="1" applyFont="1" applyFill="1" applyBorder="1" applyAlignment="1">
      <alignment horizontal="center" vertical="center"/>
    </xf>
    <xf numFmtId="0" fontId="0" fillId="0" borderId="18" xfId="0" applyBorder="1"/>
    <xf numFmtId="43" fontId="4" fillId="2" borderId="3" xfId="1" applyFont="1" applyFill="1" applyBorder="1" applyAlignment="1" applyProtection="1">
      <alignment horizontal="left" vertical="center" wrapText="1"/>
      <protection locked="0"/>
    </xf>
    <xf numFmtId="0" fontId="5" fillId="0" borderId="3" xfId="0" applyFont="1" applyBorder="1" applyAlignment="1" applyProtection="1">
      <alignment horizontal="center" vertical="center" wrapText="1"/>
      <protection locked="0"/>
    </xf>
    <xf numFmtId="0" fontId="6" fillId="2" borderId="3" xfId="0" applyFont="1" applyFill="1" applyBorder="1" applyAlignment="1" applyProtection="1">
      <alignment horizontal="left" vertical="center" wrapText="1"/>
      <protection locked="0"/>
    </xf>
    <xf numFmtId="0" fontId="6" fillId="0" borderId="3" xfId="0" applyFont="1" applyBorder="1" applyAlignment="1" applyProtection="1">
      <alignment horizontal="left" vertical="center" wrapText="1"/>
      <protection locked="0"/>
    </xf>
    <xf numFmtId="0" fontId="6" fillId="0" borderId="28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6" fillId="0" borderId="3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43" fontId="6" fillId="0" borderId="3" xfId="1" applyFont="1" applyBorder="1" applyAlignment="1" applyProtection="1">
      <alignment horizontal="center" vertical="center"/>
    </xf>
    <xf numFmtId="43" fontId="5" fillId="0" borderId="3" xfId="1" applyFont="1" applyBorder="1" applyAlignment="1" applyProtection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43" fontId="5" fillId="0" borderId="29" xfId="1" applyFont="1" applyBorder="1" applyAlignment="1" applyProtection="1">
      <alignment horizontal="center" vertical="center"/>
      <protection locked="0"/>
    </xf>
    <xf numFmtId="0" fontId="6" fillId="0" borderId="29" xfId="0" applyFont="1" applyBorder="1" applyAlignment="1" applyProtection="1">
      <alignment vertical="center"/>
      <protection locked="0"/>
    </xf>
    <xf numFmtId="0" fontId="6" fillId="0" borderId="22" xfId="0" applyFont="1" applyBorder="1" applyAlignment="1" applyProtection="1">
      <alignment horizontal="left" vertical="center"/>
      <protection locked="0"/>
    </xf>
    <xf numFmtId="0" fontId="6" fillId="0" borderId="23" xfId="0" applyFont="1" applyBorder="1" applyAlignment="1" applyProtection="1">
      <alignment horizontal="center" vertical="center"/>
      <protection locked="0"/>
    </xf>
    <xf numFmtId="0" fontId="6" fillId="0" borderId="28" xfId="0" applyFont="1" applyBorder="1" applyAlignment="1" applyProtection="1">
      <alignment horizontal="right" vertical="center"/>
      <protection locked="0"/>
    </xf>
    <xf numFmtId="0" fontId="6" fillId="0" borderId="29" xfId="0" applyFont="1" applyBorder="1" applyAlignment="1" applyProtection="1">
      <alignment horizontal="center" vertical="center"/>
      <protection locked="0"/>
    </xf>
    <xf numFmtId="0" fontId="6" fillId="0" borderId="30" xfId="0" applyFont="1" applyBorder="1" applyAlignment="1" applyProtection="1">
      <alignment horizontal="center" vertical="center"/>
      <protection locked="0"/>
    </xf>
    <xf numFmtId="0" fontId="6" fillId="0" borderId="31" xfId="0" applyFont="1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11" fillId="2" borderId="13" xfId="0" applyFont="1" applyFill="1" applyBorder="1" applyAlignment="1">
      <alignment horizontal="center" vertical="center"/>
    </xf>
    <xf numFmtId="0" fontId="0" fillId="2" borderId="0" xfId="0" applyFill="1"/>
    <xf numFmtId="0" fontId="2" fillId="2" borderId="21" xfId="0" applyFont="1" applyFill="1" applyBorder="1" applyAlignment="1" applyProtection="1">
      <alignment horizontal="center"/>
      <protection locked="0"/>
    </xf>
    <xf numFmtId="0" fontId="2" fillId="2" borderId="13" xfId="0" applyFont="1" applyFill="1" applyBorder="1" applyAlignment="1" applyProtection="1">
      <alignment horizontal="center"/>
      <protection locked="0"/>
    </xf>
    <xf numFmtId="0" fontId="35" fillId="0" borderId="3" xfId="0" applyFont="1" applyBorder="1" applyAlignment="1" applyProtection="1">
      <alignment horizontal="center" wrapText="1"/>
      <protection locked="0"/>
    </xf>
    <xf numFmtId="0" fontId="36" fillId="0" borderId="3" xfId="0" applyFont="1" applyBorder="1" applyAlignment="1" applyProtection="1">
      <alignment horizontal="center" wrapText="1"/>
      <protection locked="0"/>
    </xf>
    <xf numFmtId="0" fontId="37" fillId="0" borderId="3" xfId="0" applyFont="1" applyBorder="1" applyAlignment="1" applyProtection="1">
      <alignment horizontal="center" wrapText="1"/>
      <protection locked="0"/>
    </xf>
    <xf numFmtId="164" fontId="2" fillId="2" borderId="3" xfId="0" applyNumberFormat="1" applyFont="1" applyFill="1" applyBorder="1" applyAlignment="1" applyProtection="1">
      <alignment horizontal="center"/>
      <protection locked="0"/>
    </xf>
    <xf numFmtId="0" fontId="2" fillId="2" borderId="3" xfId="0" applyFont="1" applyFill="1" applyBorder="1" applyAlignment="1" applyProtection="1">
      <alignment horizontal="center"/>
      <protection locked="0"/>
    </xf>
    <xf numFmtId="0" fontId="2" fillId="2" borderId="13" xfId="0" applyFont="1" applyFill="1" applyBorder="1" applyAlignment="1" applyProtection="1">
      <alignment horizontal="center" wrapText="1"/>
      <protection locked="0"/>
    </xf>
    <xf numFmtId="15" fontId="12" fillId="2" borderId="3" xfId="0" applyNumberFormat="1" applyFont="1" applyFill="1" applyBorder="1" applyAlignment="1" applyProtection="1">
      <alignment horizontal="left" wrapText="1"/>
      <protection locked="0"/>
    </xf>
    <xf numFmtId="0" fontId="38" fillId="9" borderId="3" xfId="0" applyFont="1" applyFill="1" applyBorder="1" applyAlignment="1" applyProtection="1">
      <alignment horizontal="center" vertical="center" wrapText="1"/>
      <protection locked="0"/>
    </xf>
    <xf numFmtId="0" fontId="0" fillId="0" borderId="3" xfId="0" applyBorder="1" applyAlignment="1">
      <alignment horizontal="left"/>
    </xf>
    <xf numFmtId="15" fontId="12" fillId="2" borderId="18" xfId="0" applyNumberFormat="1" applyFont="1" applyFill="1" applyBorder="1" applyAlignment="1" applyProtection="1">
      <alignment horizontal="left" wrapText="1"/>
      <protection locked="0"/>
    </xf>
    <xf numFmtId="0" fontId="13" fillId="0" borderId="18" xfId="0" applyFont="1" applyBorder="1" applyAlignment="1" applyProtection="1">
      <alignment horizontal="center" wrapText="1"/>
      <protection locked="0"/>
    </xf>
    <xf numFmtId="0" fontId="13" fillId="0" borderId="18" xfId="0" applyFont="1" applyBorder="1" applyAlignment="1" applyProtection="1">
      <alignment wrapText="1"/>
      <protection locked="0"/>
    </xf>
    <xf numFmtId="0" fontId="13" fillId="0" borderId="18" xfId="0" applyFont="1" applyBorder="1" applyAlignment="1" applyProtection="1">
      <alignment horizontal="center" vertical="center" wrapText="1"/>
      <protection locked="0"/>
    </xf>
    <xf numFmtId="0" fontId="16" fillId="0" borderId="18" xfId="0" applyFont="1" applyBorder="1" applyAlignment="1" applyProtection="1">
      <alignment horizontal="center" vertical="center"/>
      <protection locked="0"/>
    </xf>
    <xf numFmtId="0" fontId="11" fillId="0" borderId="18" xfId="0" applyFont="1" applyBorder="1" applyAlignment="1" applyProtection="1">
      <alignment horizontal="center" vertical="center"/>
      <protection locked="0"/>
    </xf>
    <xf numFmtId="0" fontId="13" fillId="2" borderId="3" xfId="0" applyFont="1" applyFill="1" applyBorder="1" applyAlignment="1" applyProtection="1">
      <alignment horizontal="center" wrapText="1"/>
      <protection locked="0"/>
    </xf>
    <xf numFmtId="0" fontId="13" fillId="2" borderId="3" xfId="0" applyFont="1" applyFill="1" applyBorder="1" applyAlignment="1" applyProtection="1">
      <alignment horizontal="center" vertical="center" wrapText="1"/>
      <protection locked="0"/>
    </xf>
    <xf numFmtId="0" fontId="16" fillId="2" borderId="3" xfId="0" applyFont="1" applyFill="1" applyBorder="1" applyAlignment="1" applyProtection="1">
      <alignment vertical="center"/>
      <protection locked="0"/>
    </xf>
    <xf numFmtId="0" fontId="11" fillId="2" borderId="3" xfId="0" applyFont="1" applyFill="1" applyBorder="1" applyProtection="1">
      <protection locked="0"/>
    </xf>
    <xf numFmtId="0" fontId="16" fillId="2" borderId="3" xfId="0" applyFont="1" applyFill="1" applyBorder="1" applyProtection="1">
      <protection locked="0"/>
    </xf>
    <xf numFmtId="0" fontId="13" fillId="2" borderId="3" xfId="0" applyFont="1" applyFill="1" applyBorder="1" applyAlignment="1" applyProtection="1">
      <alignment wrapText="1"/>
      <protection locked="0"/>
    </xf>
    <xf numFmtId="0" fontId="16" fillId="2" borderId="3" xfId="0" applyFont="1" applyFill="1" applyBorder="1" applyAlignment="1" applyProtection="1">
      <alignment horizontal="center" vertical="center"/>
      <protection locked="0"/>
    </xf>
    <xf numFmtId="0" fontId="11" fillId="2" borderId="3" xfId="0" applyFont="1" applyFill="1" applyBorder="1" applyAlignment="1" applyProtection="1">
      <alignment horizontal="center" vertical="center"/>
      <protection locked="0"/>
    </xf>
    <xf numFmtId="0" fontId="17" fillId="2" borderId="0" xfId="0" applyFont="1" applyFill="1" applyAlignment="1" applyProtection="1">
      <alignment horizontal="center" vertical="center"/>
      <protection locked="0"/>
    </xf>
    <xf numFmtId="165" fontId="0" fillId="0" borderId="3" xfId="0" applyNumberFormat="1" applyBorder="1" applyProtection="1">
      <protection locked="0"/>
    </xf>
    <xf numFmtId="0" fontId="0" fillId="0" borderId="3" xfId="0" applyBorder="1" applyAlignment="1" applyProtection="1">
      <alignment horizontal="center" wrapText="1"/>
      <protection locked="0"/>
    </xf>
    <xf numFmtId="164" fontId="5" fillId="2" borderId="3" xfId="0" applyNumberFormat="1" applyFont="1" applyFill="1" applyBorder="1" applyAlignment="1" applyProtection="1">
      <alignment vertical="center"/>
      <protection locked="0"/>
    </xf>
    <xf numFmtId="0" fontId="5" fillId="0" borderId="3" xfId="0" applyFont="1" applyBorder="1" applyAlignment="1" applyProtection="1">
      <alignment vertical="center"/>
      <protection locked="0"/>
    </xf>
    <xf numFmtId="164" fontId="5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5" fillId="2" borderId="3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65" fontId="8" fillId="2" borderId="3" xfId="0" applyNumberFormat="1" applyFont="1" applyFill="1" applyBorder="1" applyAlignment="1">
      <alignment horizontal="center" vertical="center"/>
    </xf>
    <xf numFmtId="0" fontId="39" fillId="2" borderId="3" xfId="0" applyFont="1" applyFill="1" applyBorder="1" applyAlignment="1" applyProtection="1">
      <alignment horizontal="center" vertical="center" wrapText="1"/>
      <protection locked="0"/>
    </xf>
    <xf numFmtId="0" fontId="2" fillId="0" borderId="18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/>
    </xf>
    <xf numFmtId="0" fontId="8" fillId="2" borderId="3" xfId="0" applyFont="1" applyFill="1" applyBorder="1" applyAlignment="1">
      <alignment horizontal="center" vertical="center"/>
    </xf>
    <xf numFmtId="49" fontId="13" fillId="0" borderId="3" xfId="0" applyNumberFormat="1" applyFont="1" applyBorder="1" applyAlignment="1" applyProtection="1">
      <alignment wrapText="1"/>
      <protection locked="0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/>
    <xf numFmtId="0" fontId="0" fillId="2" borderId="3" xfId="0" applyFill="1" applyBorder="1" applyAlignment="1">
      <alignment horizontal="center"/>
    </xf>
    <xf numFmtId="0" fontId="8" fillId="2" borderId="3" xfId="0" applyFont="1" applyFill="1" applyBorder="1" applyAlignment="1">
      <alignment horizontal="center" wrapText="1"/>
    </xf>
    <xf numFmtId="0" fontId="8" fillId="2" borderId="3" xfId="0" applyFont="1" applyFill="1" applyBorder="1" applyAlignment="1">
      <alignment horizontal="center"/>
    </xf>
    <xf numFmtId="0" fontId="5" fillId="2" borderId="3" xfId="0" applyFont="1" applyFill="1" applyBorder="1" applyAlignment="1" applyProtection="1">
      <alignment horizontal="center"/>
      <protection locked="0"/>
    </xf>
    <xf numFmtId="0" fontId="5" fillId="2" borderId="3" xfId="0" applyFont="1" applyFill="1" applyBorder="1" applyProtection="1">
      <protection locked="0"/>
    </xf>
    <xf numFmtId="165" fontId="24" fillId="2" borderId="3" xfId="0" applyNumberFormat="1" applyFont="1" applyFill="1" applyBorder="1" applyAlignment="1">
      <alignment horizontal="center" vertical="center"/>
    </xf>
    <xf numFmtId="0" fontId="24" fillId="2" borderId="3" xfId="0" applyFont="1" applyFill="1" applyBorder="1" applyAlignment="1">
      <alignment horizontal="center"/>
    </xf>
    <xf numFmtId="0" fontId="24" fillId="2" borderId="3" xfId="0" applyFont="1" applyFill="1" applyBorder="1" applyAlignment="1">
      <alignment horizontal="center" wrapText="1"/>
    </xf>
    <xf numFmtId="0" fontId="38" fillId="2" borderId="3" xfId="0" applyFont="1" applyFill="1" applyBorder="1" applyAlignment="1" applyProtection="1">
      <alignment horizontal="center" vertical="center" wrapText="1"/>
      <protection locked="0"/>
    </xf>
    <xf numFmtId="0" fontId="40" fillId="2" borderId="3" xfId="0" applyFont="1" applyFill="1" applyBorder="1" applyAlignment="1" applyProtection="1">
      <alignment horizontal="center" vertical="center"/>
      <protection locked="0"/>
    </xf>
    <xf numFmtId="0" fontId="40" fillId="2" borderId="3" xfId="0" applyFont="1" applyFill="1" applyBorder="1" applyProtection="1">
      <protection locked="0"/>
    </xf>
    <xf numFmtId="0" fontId="8" fillId="2" borderId="3" xfId="0" applyFont="1" applyFill="1" applyBorder="1" applyAlignment="1">
      <alignment horizontal="center" vertical="center" wrapText="1"/>
    </xf>
    <xf numFmtId="165" fontId="8" fillId="9" borderId="3" xfId="0" applyNumberFormat="1" applyFont="1" applyFill="1" applyBorder="1" applyAlignment="1">
      <alignment horizontal="center" vertical="center"/>
    </xf>
    <xf numFmtId="0" fontId="39" fillId="9" borderId="3" xfId="0" applyFont="1" applyFill="1" applyBorder="1" applyAlignment="1" applyProtection="1">
      <alignment horizontal="center" vertical="center" wrapText="1"/>
      <protection locked="0"/>
    </xf>
    <xf numFmtId="0" fontId="5" fillId="9" borderId="3" xfId="0" applyFont="1" applyFill="1" applyBorder="1" applyAlignment="1" applyProtection="1">
      <alignment horizontal="center" vertical="center"/>
      <protection locked="0"/>
    </xf>
    <xf numFmtId="0" fontId="0" fillId="9" borderId="3" xfId="0" applyFill="1" applyBorder="1"/>
    <xf numFmtId="0" fontId="8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 wrapText="1"/>
    </xf>
    <xf numFmtId="0" fontId="8" fillId="9" borderId="3" xfId="0" applyFont="1" applyFill="1" applyBorder="1" applyAlignment="1">
      <alignment horizontal="center"/>
    </xf>
    <xf numFmtId="0" fontId="8" fillId="9" borderId="3" xfId="0" applyFont="1" applyFill="1" applyBorder="1" applyAlignment="1">
      <alignment horizont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wrapText="1"/>
    </xf>
    <xf numFmtId="0" fontId="2" fillId="2" borderId="3" xfId="0" applyFont="1" applyFill="1" applyBorder="1" applyAlignment="1" applyProtection="1">
      <alignment horizontal="center" vertical="center"/>
      <protection locked="0"/>
    </xf>
    <xf numFmtId="164" fontId="2" fillId="2" borderId="13" xfId="0" applyNumberFormat="1" applyFont="1" applyFill="1" applyBorder="1" applyAlignment="1" applyProtection="1">
      <alignment horizontal="center"/>
      <protection locked="0"/>
    </xf>
    <xf numFmtId="164" fontId="2" fillId="2" borderId="18" xfId="0" applyNumberFormat="1" applyFont="1" applyFill="1" applyBorder="1" applyAlignment="1" applyProtection="1">
      <alignment horizontal="center"/>
      <protection locked="0"/>
    </xf>
    <xf numFmtId="0" fontId="2" fillId="2" borderId="18" xfId="0" applyFont="1" applyFill="1" applyBorder="1" applyAlignment="1" applyProtection="1">
      <alignment horizontal="center"/>
      <protection locked="0"/>
    </xf>
    <xf numFmtId="0" fontId="2" fillId="2" borderId="3" xfId="0" applyFont="1" applyFill="1" applyBorder="1" applyAlignment="1" applyProtection="1">
      <alignment horizontal="center" wrapText="1"/>
      <protection locked="0"/>
    </xf>
    <xf numFmtId="0" fontId="3" fillId="0" borderId="19" xfId="0" applyFont="1" applyBorder="1" applyAlignment="1" applyProtection="1">
      <alignment horizontal="center" vertical="center"/>
      <protection locked="0"/>
    </xf>
    <xf numFmtId="0" fontId="3" fillId="0" borderId="20" xfId="0" applyFont="1" applyBorder="1" applyAlignment="1" applyProtection="1">
      <alignment horizontal="center" vertical="center"/>
      <protection locked="0"/>
    </xf>
    <xf numFmtId="0" fontId="3" fillId="0" borderId="2" xfId="0" applyFont="1" applyBorder="1" applyAlignment="1" applyProtection="1">
      <alignment horizontal="center" vertical="center"/>
      <protection locked="0"/>
    </xf>
    <xf numFmtId="43" fontId="4" fillId="0" borderId="19" xfId="1" applyFont="1" applyBorder="1" applyAlignment="1" applyProtection="1">
      <alignment horizontal="center" vertical="center" wrapText="1"/>
      <protection locked="0"/>
    </xf>
    <xf numFmtId="43" fontId="4" fillId="0" borderId="2" xfId="1" applyFont="1" applyBorder="1" applyAlignment="1" applyProtection="1">
      <alignment horizontal="center" vertical="center" wrapText="1"/>
      <protection locked="0"/>
    </xf>
    <xf numFmtId="0" fontId="7" fillId="2" borderId="14" xfId="0" applyFont="1" applyFill="1" applyBorder="1" applyAlignment="1" applyProtection="1">
      <alignment horizontal="center" vertical="center"/>
      <protection locked="0"/>
    </xf>
    <xf numFmtId="0" fontId="7" fillId="2" borderId="15" xfId="0" applyFont="1" applyFill="1" applyBorder="1" applyAlignment="1" applyProtection="1">
      <alignment horizontal="center" vertical="center"/>
      <protection locked="0"/>
    </xf>
    <xf numFmtId="0" fontId="7" fillId="2" borderId="17" xfId="0" applyFont="1" applyFill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39" fillId="2" borderId="3" xfId="0" applyFont="1" applyFill="1" applyBorder="1" applyAlignment="1" applyProtection="1">
      <alignment horizontal="center" vertical="center" wrapText="1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8" fillId="2" borderId="3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0" fillId="0" borderId="3" xfId="0" applyFont="1" applyBorder="1" applyAlignment="1" applyProtection="1">
      <alignment horizontal="center" vertical="center"/>
      <protection locked="0"/>
    </xf>
    <xf numFmtId="0" fontId="10" fillId="0" borderId="19" xfId="0" applyFont="1" applyBorder="1" applyAlignment="1" applyProtection="1">
      <alignment horizontal="center" vertical="center"/>
      <protection locked="0"/>
    </xf>
    <xf numFmtId="0" fontId="10" fillId="0" borderId="20" xfId="0" applyFont="1" applyBorder="1" applyAlignment="1" applyProtection="1">
      <alignment horizontal="center" vertical="center"/>
      <protection locked="0"/>
    </xf>
    <xf numFmtId="0" fontId="10" fillId="0" borderId="2" xfId="0" applyFont="1" applyBorder="1" applyAlignment="1" applyProtection="1">
      <alignment horizontal="center" vertical="center"/>
      <protection locked="0"/>
    </xf>
    <xf numFmtId="164" fontId="11" fillId="2" borderId="13" xfId="0" applyNumberFormat="1" applyFont="1" applyFill="1" applyBorder="1" applyAlignment="1">
      <alignment horizontal="center" vertical="center"/>
    </xf>
    <xf numFmtId="164" fontId="11" fillId="2" borderId="21" xfId="0" applyNumberFormat="1" applyFont="1" applyFill="1" applyBorder="1" applyAlignment="1">
      <alignment horizontal="center" vertical="center"/>
    </xf>
    <xf numFmtId="164" fontId="11" fillId="2" borderId="18" xfId="0" applyNumberFormat="1" applyFont="1" applyFill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1" fillId="2" borderId="21" xfId="0" applyFont="1" applyFill="1" applyBorder="1" applyAlignment="1">
      <alignment horizontal="center" vertical="center"/>
    </xf>
    <xf numFmtId="0" fontId="11" fillId="2" borderId="18" xfId="0" applyFont="1" applyFill="1" applyBorder="1" applyAlignment="1">
      <alignment horizontal="center" vertical="center"/>
    </xf>
    <xf numFmtId="0" fontId="13" fillId="0" borderId="13" xfId="0" applyFont="1" applyBorder="1" applyAlignment="1" applyProtection="1">
      <alignment horizontal="center" vertical="center" wrapText="1"/>
      <protection locked="0"/>
    </xf>
    <xf numFmtId="0" fontId="13" fillId="0" borderId="21" xfId="0" applyFont="1" applyBorder="1" applyAlignment="1" applyProtection="1">
      <alignment horizontal="center" vertical="center" wrapText="1"/>
      <protection locked="0"/>
    </xf>
    <xf numFmtId="0" fontId="13" fillId="0" borderId="18" xfId="0" applyFont="1" applyBorder="1" applyAlignment="1" applyProtection="1">
      <alignment horizontal="center" vertical="center" wrapText="1"/>
      <protection locked="0"/>
    </xf>
    <xf numFmtId="0" fontId="17" fillId="2" borderId="0" xfId="0" applyFont="1" applyFill="1" applyAlignment="1" applyProtection="1">
      <alignment horizontal="center" vertical="center"/>
      <protection locked="0"/>
    </xf>
    <xf numFmtId="165" fontId="27" fillId="0" borderId="22" xfId="0" applyNumberFormat="1" applyFont="1" applyBorder="1" applyAlignment="1">
      <alignment horizontal="center" vertical="center" wrapText="1"/>
    </xf>
    <xf numFmtId="165" fontId="0" fillId="0" borderId="9" xfId="0" applyNumberFormat="1" applyBorder="1" applyAlignment="1">
      <alignment horizontal="center" vertical="center" wrapText="1"/>
    </xf>
    <xf numFmtId="165" fontId="0" fillId="0" borderId="23" xfId="0" applyNumberFormat="1" applyBorder="1" applyAlignment="1">
      <alignment horizontal="center" vertical="center" wrapText="1"/>
    </xf>
    <xf numFmtId="165" fontId="0" fillId="0" borderId="28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29" xfId="0" applyNumberFormat="1" applyBorder="1" applyAlignment="1">
      <alignment horizontal="center" vertical="center" wrapText="1"/>
    </xf>
    <xf numFmtId="165" fontId="0" fillId="0" borderId="30" xfId="0" applyNumberFormat="1" applyBorder="1" applyAlignment="1">
      <alignment horizontal="center" vertical="center" wrapText="1"/>
    </xf>
    <xf numFmtId="165" fontId="0" fillId="0" borderId="31" xfId="0" applyNumberFormat="1" applyBorder="1" applyAlignment="1">
      <alignment horizontal="center" vertical="center" wrapText="1"/>
    </xf>
    <xf numFmtId="165" fontId="0" fillId="0" borderId="32" xfId="0" applyNumberFormat="1" applyBorder="1" applyAlignment="1">
      <alignment horizontal="center" vertical="center" wrapText="1"/>
    </xf>
    <xf numFmtId="0" fontId="17" fillId="0" borderId="22" xfId="0" applyFont="1" applyBorder="1" applyAlignment="1" applyProtection="1">
      <alignment horizontal="center" vertical="center" wrapText="1"/>
      <protection locked="0"/>
    </xf>
    <xf numFmtId="0" fontId="17" fillId="0" borderId="9" xfId="0" applyFont="1" applyBorder="1" applyAlignment="1" applyProtection="1">
      <alignment horizontal="center" vertical="center" wrapText="1"/>
      <protection locked="0"/>
    </xf>
    <xf numFmtId="0" fontId="17" fillId="0" borderId="20" xfId="0" applyFont="1" applyBorder="1" applyAlignment="1" applyProtection="1">
      <alignment horizontal="center" vertical="center" wrapText="1"/>
      <protection locked="0"/>
    </xf>
    <xf numFmtId="0" fontId="17" fillId="0" borderId="23" xfId="0" applyFont="1" applyBorder="1" applyAlignment="1" applyProtection="1">
      <alignment horizontal="center" vertical="center" wrapText="1"/>
      <protection locked="0"/>
    </xf>
    <xf numFmtId="0" fontId="19" fillId="0" borderId="0" xfId="0" applyFont="1" applyAlignment="1" applyProtection="1">
      <alignment horizontal="center" vertical="center"/>
      <protection locked="0"/>
    </xf>
    <xf numFmtId="0" fontId="20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20" fillId="0" borderId="13" xfId="0" applyFont="1" applyBorder="1" applyAlignment="1" applyProtection="1">
      <alignment horizontal="center" vertical="center"/>
      <protection locked="0"/>
    </xf>
    <xf numFmtId="0" fontId="20" fillId="0" borderId="3" xfId="0" applyFont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4" fillId="0" borderId="3" xfId="0" applyFont="1" applyBorder="1" applyAlignment="1" applyProtection="1">
      <alignment horizontal="center" vertical="center"/>
      <protection locked="0"/>
    </xf>
    <xf numFmtId="0" fontId="26" fillId="0" borderId="6" xfId="0" applyFont="1" applyBorder="1" applyAlignment="1">
      <alignment horizontal="left"/>
    </xf>
    <xf numFmtId="0" fontId="26" fillId="0" borderId="0" xfId="0" applyFont="1" applyAlignment="1">
      <alignment horizontal="left"/>
    </xf>
    <xf numFmtId="0" fontId="2" fillId="0" borderId="1" xfId="0" applyFont="1" applyBorder="1" applyAlignment="1">
      <alignment horizontal="right" vertical="center"/>
    </xf>
    <xf numFmtId="0" fontId="2" fillId="0" borderId="20" xfId="0" applyFont="1" applyBorder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7" fillId="0" borderId="1" xfId="0" applyFont="1" applyBorder="1" applyAlignment="1">
      <alignment horizontal="right" vertical="center"/>
    </xf>
    <xf numFmtId="0" fontId="7" fillId="0" borderId="20" xfId="0" applyFont="1" applyBorder="1" applyAlignment="1">
      <alignment horizontal="right" vertical="center"/>
    </xf>
    <xf numFmtId="0" fontId="7" fillId="0" borderId="2" xfId="0" applyFont="1" applyBorder="1" applyAlignment="1">
      <alignment horizontal="right" vertical="center"/>
    </xf>
    <xf numFmtId="49" fontId="0" fillId="0" borderId="0" xfId="0" applyNumberFormat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32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28" fillId="0" borderId="24" xfId="0" applyFont="1" applyBorder="1" applyAlignment="1">
      <alignment horizontal="center"/>
    </xf>
    <xf numFmtId="0" fontId="28" fillId="0" borderId="25" xfId="0" applyFont="1" applyBorder="1" applyAlignment="1">
      <alignment horizontal="center"/>
    </xf>
    <xf numFmtId="0" fontId="28" fillId="0" borderId="26" xfId="0" applyFont="1" applyBorder="1" applyAlignment="1">
      <alignment horizontal="center"/>
    </xf>
    <xf numFmtId="0" fontId="27" fillId="0" borderId="6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7" fillId="0" borderId="7" xfId="0" applyFont="1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28" fillId="0" borderId="22" xfId="0" applyFont="1" applyBorder="1" applyAlignment="1">
      <alignment horizontal="center"/>
    </xf>
    <xf numFmtId="0" fontId="28" fillId="0" borderId="9" xfId="0" applyFont="1" applyBorder="1" applyAlignment="1">
      <alignment horizontal="center"/>
    </xf>
    <xf numFmtId="0" fontId="28" fillId="0" borderId="23" xfId="0" applyFont="1" applyBorder="1" applyAlignment="1">
      <alignment horizontal="center"/>
    </xf>
    <xf numFmtId="0" fontId="27" fillId="0" borderId="28" xfId="0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17" fillId="0" borderId="19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4"/>
  <sheetViews>
    <sheetView view="pageBreakPreview" topLeftCell="B1" zoomScale="112" zoomScaleNormal="112" zoomScaleSheetLayoutView="112" workbookViewId="0">
      <selection activeCell="D41" sqref="D41"/>
    </sheetView>
  </sheetViews>
  <sheetFormatPr defaultRowHeight="15" x14ac:dyDescent="0.25"/>
  <cols>
    <col min="1" max="1" width="24.7109375" customWidth="1"/>
    <col min="2" max="2" width="42.28515625" customWidth="1"/>
    <col min="3" max="3" width="34.85546875" style="47" bestFit="1" customWidth="1"/>
    <col min="4" max="4" width="76.85546875" customWidth="1"/>
  </cols>
  <sheetData>
    <row r="1" spans="1:4" ht="51" customHeight="1" x14ac:dyDescent="0.25">
      <c r="A1" s="315" t="s">
        <v>0</v>
      </c>
      <c r="B1" s="316"/>
      <c r="C1" s="316"/>
      <c r="D1" s="317"/>
    </row>
    <row r="2" spans="1:4" ht="23.25" x14ac:dyDescent="0.25">
      <c r="A2" s="318" t="s">
        <v>1</v>
      </c>
      <c r="B2" s="319"/>
      <c r="C2" s="140" t="s">
        <v>2</v>
      </c>
      <c r="D2" s="223" t="s">
        <v>171</v>
      </c>
    </row>
    <row r="3" spans="1:4" ht="20.25" x14ac:dyDescent="0.25">
      <c r="A3" s="4" t="s">
        <v>3</v>
      </c>
      <c r="B3" s="7" t="s">
        <v>118</v>
      </c>
      <c r="C3" s="8" t="s">
        <v>173</v>
      </c>
      <c r="D3" s="8" t="s">
        <v>172</v>
      </c>
    </row>
    <row r="4" spans="1:4" ht="33.75" customHeight="1" x14ac:dyDescent="0.25">
      <c r="A4" s="1" t="s">
        <v>4</v>
      </c>
      <c r="B4" s="1" t="s">
        <v>5</v>
      </c>
      <c r="C4" s="2" t="s">
        <v>6</v>
      </c>
      <c r="D4" s="224" t="s">
        <v>5</v>
      </c>
    </row>
    <row r="5" spans="1:4" ht="20.25" x14ac:dyDescent="0.25">
      <c r="A5" s="176">
        <v>1</v>
      </c>
      <c r="B5" s="3" t="s">
        <v>7</v>
      </c>
      <c r="C5" s="177">
        <f>'1. B2B- IPP'!M4</f>
        <v>0</v>
      </c>
      <c r="D5" s="225"/>
    </row>
    <row r="6" spans="1:4" ht="20.25" x14ac:dyDescent="0.25">
      <c r="A6" s="176">
        <v>2</v>
      </c>
      <c r="B6" s="3" t="s">
        <v>8</v>
      </c>
      <c r="C6" s="177">
        <f>'2. B2C'!L4</f>
        <v>13530</v>
      </c>
      <c r="D6" s="225" t="s">
        <v>129</v>
      </c>
    </row>
    <row r="7" spans="1:4" ht="20.25" x14ac:dyDescent="0.25">
      <c r="A7" s="176">
        <v>3</v>
      </c>
      <c r="B7" s="3" t="s">
        <v>9</v>
      </c>
      <c r="C7" s="177">
        <f>'3. B2B-Non Power'!L4</f>
        <v>0</v>
      </c>
      <c r="D7" s="225"/>
    </row>
    <row r="8" spans="1:4" ht="20.25" x14ac:dyDescent="0.25">
      <c r="A8" s="176">
        <v>4</v>
      </c>
      <c r="B8" s="3" t="s">
        <v>10</v>
      </c>
      <c r="C8" s="177">
        <f>'4. Goods Sending Expense'!L4</f>
        <v>1700</v>
      </c>
      <c r="D8" s="225" t="s">
        <v>150</v>
      </c>
    </row>
    <row r="9" spans="1:4" ht="20.25" x14ac:dyDescent="0.25">
      <c r="A9" s="176">
        <v>5</v>
      </c>
      <c r="B9" s="3" t="s">
        <v>11</v>
      </c>
      <c r="C9" s="177">
        <f>'5. Goods Receiving Expense'!L4</f>
        <v>500</v>
      </c>
      <c r="D9" s="225" t="s">
        <v>150</v>
      </c>
    </row>
    <row r="10" spans="1:4" ht="20.25" x14ac:dyDescent="0.25">
      <c r="A10" s="176">
        <v>6</v>
      </c>
      <c r="B10" s="3" t="s">
        <v>12</v>
      </c>
      <c r="C10" s="177">
        <f>'6.WH-Depot Maintenance'!D3</f>
        <v>1950</v>
      </c>
      <c r="D10" s="225" t="s">
        <v>174</v>
      </c>
    </row>
    <row r="11" spans="1:4" ht="20.25" x14ac:dyDescent="0.25">
      <c r="A11" s="176">
        <v>7</v>
      </c>
      <c r="B11" s="3" t="s">
        <v>13</v>
      </c>
      <c r="C11" s="177">
        <f>'7. Utilities'!F2</f>
        <v>0</v>
      </c>
      <c r="D11" s="225"/>
    </row>
    <row r="12" spans="1:4" ht="20.25" x14ac:dyDescent="0.25">
      <c r="A12" s="176">
        <v>8</v>
      </c>
      <c r="B12" s="3" t="s">
        <v>14</v>
      </c>
      <c r="C12" s="177">
        <f>'8. Printing'!E2</f>
        <v>0</v>
      </c>
      <c r="D12" s="225"/>
    </row>
    <row r="13" spans="1:4" ht="20.25" x14ac:dyDescent="0.25">
      <c r="A13" s="176">
        <v>9</v>
      </c>
      <c r="B13" s="3" t="s">
        <v>15</v>
      </c>
      <c r="C13" s="177">
        <f>'9. Stationary'!E2</f>
        <v>0</v>
      </c>
      <c r="D13" s="225"/>
    </row>
    <row r="14" spans="1:4" ht="20.25" x14ac:dyDescent="0.25">
      <c r="A14" s="176">
        <v>10</v>
      </c>
      <c r="B14" s="3" t="s">
        <v>16</v>
      </c>
      <c r="C14" s="177">
        <f>'10-11.Delivery Van Expense'!D2</f>
        <v>0</v>
      </c>
      <c r="D14" s="225"/>
    </row>
    <row r="15" spans="1:4" ht="20.25" x14ac:dyDescent="0.25">
      <c r="A15" s="176">
        <v>11</v>
      </c>
      <c r="B15" s="3" t="s">
        <v>17</v>
      </c>
      <c r="C15" s="177">
        <f>'10-11.Delivery Van Expense'!D13</f>
        <v>0</v>
      </c>
      <c r="D15" s="225"/>
    </row>
    <row r="16" spans="1:4" ht="20.25" x14ac:dyDescent="0.25">
      <c r="A16" s="176">
        <v>12</v>
      </c>
      <c r="B16" s="3" t="s">
        <v>18</v>
      </c>
      <c r="C16" s="177">
        <f>'12. Entertainment'!D2</f>
        <v>0</v>
      </c>
      <c r="D16" s="225"/>
    </row>
    <row r="17" spans="1:7" ht="20.25" x14ac:dyDescent="0.25">
      <c r="A17" s="176">
        <v>13</v>
      </c>
      <c r="B17" s="3" t="s">
        <v>19</v>
      </c>
      <c r="C17" s="177">
        <f>'13. Food Allowance'!D2</f>
        <v>0</v>
      </c>
      <c r="D17" s="225"/>
    </row>
    <row r="18" spans="1:7" ht="20.25" x14ac:dyDescent="0.25">
      <c r="A18" s="176">
        <v>14</v>
      </c>
      <c r="B18" s="3" t="s">
        <v>20</v>
      </c>
      <c r="C18" s="177">
        <f>'14. Conveyance'!D2</f>
        <v>300</v>
      </c>
      <c r="D18" s="225" t="s">
        <v>21</v>
      </c>
    </row>
    <row r="19" spans="1:7" ht="20.25" x14ac:dyDescent="0.25">
      <c r="A19" s="176">
        <v>15</v>
      </c>
      <c r="B19" s="3" t="s">
        <v>22</v>
      </c>
      <c r="C19" s="177">
        <f>'15. For Security'!D2</f>
        <v>0</v>
      </c>
      <c r="D19" s="226"/>
      <c r="G19" t="s">
        <v>127</v>
      </c>
    </row>
    <row r="20" spans="1:7" ht="20.25" x14ac:dyDescent="0.25">
      <c r="A20" s="176"/>
      <c r="B20" s="4" t="s">
        <v>23</v>
      </c>
      <c r="C20" s="177">
        <f>SUM(C5:C19)</f>
        <v>17980</v>
      </c>
      <c r="D20" s="226"/>
    </row>
    <row r="21" spans="1:7" ht="20.25" x14ac:dyDescent="0.25">
      <c r="A21" s="227"/>
      <c r="B21" s="228"/>
      <c r="C21" s="175"/>
      <c r="D21" s="229"/>
    </row>
    <row r="22" spans="1:7" ht="20.25" x14ac:dyDescent="0.25">
      <c r="A22" s="227"/>
      <c r="B22" s="230"/>
      <c r="C22" s="1" t="s">
        <v>24</v>
      </c>
      <c r="D22" s="2" t="s">
        <v>25</v>
      </c>
    </row>
    <row r="23" spans="1:7" ht="20.25" x14ac:dyDescent="0.25">
      <c r="A23" s="227"/>
      <c r="B23" s="228"/>
      <c r="C23" s="176" t="s">
        <v>26</v>
      </c>
      <c r="D23" s="231">
        <f>'1. B2B- IPP'!D4</f>
        <v>0</v>
      </c>
    </row>
    <row r="24" spans="1:7" ht="20.25" x14ac:dyDescent="0.25">
      <c r="A24" s="227"/>
      <c r="B24" s="228"/>
      <c r="C24" s="176" t="s">
        <v>8</v>
      </c>
      <c r="D24" s="231">
        <f>'2. B2C'!D4</f>
        <v>9149</v>
      </c>
    </row>
    <row r="25" spans="1:7" ht="20.25" x14ac:dyDescent="0.25">
      <c r="A25" s="227"/>
      <c r="B25" s="228"/>
      <c r="C25" s="176" t="s">
        <v>27</v>
      </c>
      <c r="D25" s="231">
        <f>'3. B2B-Non Power'!D4</f>
        <v>0</v>
      </c>
    </row>
    <row r="26" spans="1:7" ht="20.25" x14ac:dyDescent="0.25">
      <c r="A26" s="227"/>
      <c r="B26" s="228"/>
      <c r="C26" s="176" t="s">
        <v>10</v>
      </c>
      <c r="D26" s="231">
        <f>'4. Goods Sending Expense'!D4</f>
        <v>168</v>
      </c>
    </row>
    <row r="27" spans="1:7" ht="20.25" x14ac:dyDescent="0.25">
      <c r="A27" s="227"/>
      <c r="B27" s="228"/>
      <c r="C27" s="176" t="s">
        <v>28</v>
      </c>
      <c r="D27" s="231">
        <f>'5. Goods Receiving Expense'!D4</f>
        <v>5132</v>
      </c>
    </row>
    <row r="28" spans="1:7" ht="20.25" x14ac:dyDescent="0.25">
      <c r="A28" s="227"/>
      <c r="B28" s="228"/>
      <c r="C28" s="1" t="s">
        <v>29</v>
      </c>
      <c r="D28" s="232">
        <f>SUM(D23:D27)</f>
        <v>14449</v>
      </c>
    </row>
    <row r="29" spans="1:7" ht="20.25" x14ac:dyDescent="0.25">
      <c r="A29" s="227"/>
      <c r="B29" s="228"/>
      <c r="C29" s="233"/>
      <c r="D29" s="234"/>
    </row>
    <row r="30" spans="1:7" ht="20.25" x14ac:dyDescent="0.25">
      <c r="A30" s="227"/>
      <c r="B30" s="228"/>
      <c r="C30" s="233"/>
      <c r="D30" s="234"/>
    </row>
    <row r="31" spans="1:7" ht="20.25" x14ac:dyDescent="0.25">
      <c r="A31" s="227"/>
      <c r="B31" s="228"/>
      <c r="C31" s="233"/>
      <c r="D31" s="234"/>
    </row>
    <row r="32" spans="1:7" ht="20.25" x14ac:dyDescent="0.25">
      <c r="A32" s="227"/>
      <c r="B32" s="228"/>
      <c r="C32" s="233"/>
      <c r="D32" s="234"/>
    </row>
    <row r="33" spans="1:6" ht="20.25" x14ac:dyDescent="0.25">
      <c r="A33" s="227"/>
      <c r="B33" s="228"/>
      <c r="C33" s="233"/>
      <c r="D33" s="234"/>
    </row>
    <row r="34" spans="1:6" ht="20.25" x14ac:dyDescent="0.25">
      <c r="A34" s="227"/>
      <c r="B34" s="228"/>
      <c r="C34" s="6"/>
      <c r="D34" s="235"/>
    </row>
    <row r="35" spans="1:6" ht="20.25" x14ac:dyDescent="0.25">
      <c r="A35" s="227"/>
      <c r="B35" s="228"/>
      <c r="C35" s="6"/>
      <c r="D35" s="235"/>
    </row>
    <row r="36" spans="1:6" ht="20.25" x14ac:dyDescent="0.25">
      <c r="A36" s="227"/>
      <c r="B36" s="228"/>
      <c r="C36" s="6"/>
      <c r="D36" s="235"/>
    </row>
    <row r="37" spans="1:6" ht="20.25" x14ac:dyDescent="0.25">
      <c r="A37" s="236" t="s">
        <v>30</v>
      </c>
      <c r="B37" s="5" t="s">
        <v>82</v>
      </c>
      <c r="C37" s="5" t="s">
        <v>31</v>
      </c>
      <c r="D37" s="237" t="s">
        <v>132</v>
      </c>
      <c r="F37" s="6" t="s">
        <v>127</v>
      </c>
    </row>
    <row r="38" spans="1:6" ht="20.25" x14ac:dyDescent="0.25">
      <c r="A38" s="238"/>
      <c r="B38" s="6"/>
      <c r="C38" s="6"/>
      <c r="D38" s="239"/>
    </row>
    <row r="39" spans="1:6" ht="20.25" x14ac:dyDescent="0.25">
      <c r="A39" s="238"/>
      <c r="B39" s="6"/>
      <c r="C39" s="6"/>
      <c r="D39" s="239"/>
    </row>
    <row r="40" spans="1:6" ht="20.25" x14ac:dyDescent="0.25">
      <c r="A40" s="227"/>
      <c r="B40" s="228"/>
      <c r="C40" s="6"/>
      <c r="D40" s="235"/>
    </row>
    <row r="41" spans="1:6" ht="20.25" x14ac:dyDescent="0.25">
      <c r="A41" s="227"/>
      <c r="B41" s="228"/>
      <c r="C41" s="6"/>
      <c r="D41" s="235"/>
    </row>
    <row r="42" spans="1:6" ht="20.25" x14ac:dyDescent="0.25">
      <c r="A42" s="227"/>
      <c r="B42" s="228"/>
      <c r="C42" s="6"/>
      <c r="D42" s="235"/>
    </row>
    <row r="43" spans="1:6" ht="20.25" x14ac:dyDescent="0.25">
      <c r="A43" s="240"/>
      <c r="B43" s="228"/>
      <c r="C43" s="6" t="s">
        <v>142</v>
      </c>
      <c r="D43" s="235"/>
    </row>
    <row r="44" spans="1:6" ht="20.25" x14ac:dyDescent="0.25">
      <c r="A44" s="240" t="s">
        <v>133</v>
      </c>
      <c r="B44" s="241"/>
      <c r="C44" s="241" t="s">
        <v>32</v>
      </c>
      <c r="D44" s="242" t="s">
        <v>33</v>
      </c>
    </row>
  </sheetData>
  <mergeCells count="2">
    <mergeCell ref="A1:D1"/>
    <mergeCell ref="A2:B2"/>
  </mergeCells>
  <phoneticPr fontId="34" type="noConversion"/>
  <pageMargins left="0.45" right="0.7" top="1.1200000000000001" bottom="0.65" header="0.3" footer="0.3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223"/>
  <sheetViews>
    <sheetView workbookViewId="0">
      <pane xSplit="13" ySplit="4" topLeftCell="N5" activePane="bottomRight" state="frozen"/>
      <selection pane="topRight" activeCell="N1" sqref="N1"/>
      <selection pane="bottomLeft" activeCell="A5" sqref="A5"/>
      <selection pane="bottomRight" activeCell="D5" sqref="D5"/>
    </sheetView>
  </sheetViews>
  <sheetFormatPr defaultRowHeight="15" x14ac:dyDescent="0.25"/>
  <cols>
    <col min="1" max="1" width="9" customWidth="1"/>
    <col min="2" max="2" width="11.5703125" customWidth="1"/>
    <col min="3" max="3" width="14" bestFit="1" customWidth="1"/>
    <col min="8" max="8" width="11.42578125" bestFit="1" customWidth="1"/>
    <col min="9" max="9" width="11.85546875" customWidth="1"/>
    <col min="10" max="10" width="9.42578125" bestFit="1" customWidth="1"/>
    <col min="11" max="11" width="5.42578125" customWidth="1"/>
    <col min="12" max="12" width="6.42578125" bestFit="1" customWidth="1"/>
  </cols>
  <sheetData>
    <row r="1" spans="1:13" ht="21.75" thickBot="1" x14ac:dyDescent="0.3">
      <c r="A1" s="9"/>
      <c r="B1" s="9"/>
      <c r="C1" s="320" t="s">
        <v>34</v>
      </c>
      <c r="D1" s="321"/>
      <c r="E1" s="322"/>
      <c r="F1" s="10"/>
      <c r="G1" s="11"/>
      <c r="H1" s="9"/>
      <c r="I1" s="9"/>
      <c r="J1" s="9"/>
      <c r="K1" s="9"/>
      <c r="L1" s="9"/>
      <c r="M1" s="9"/>
    </row>
    <row r="2" spans="1:13" x14ac:dyDescent="0.25">
      <c r="A2" s="9"/>
      <c r="B2" s="9"/>
      <c r="C2" s="9"/>
      <c r="D2" s="9"/>
      <c r="E2" s="9"/>
      <c r="F2" s="9"/>
      <c r="G2" s="11"/>
      <c r="H2" s="323" t="s">
        <v>35</v>
      </c>
      <c r="I2" s="323"/>
      <c r="J2" s="323"/>
      <c r="K2" s="323"/>
      <c r="L2" s="323"/>
      <c r="M2" s="9"/>
    </row>
    <row r="3" spans="1:13" ht="51.75" thickBot="1" x14ac:dyDescent="0.3">
      <c r="A3" s="13" t="s">
        <v>36</v>
      </c>
      <c r="B3" s="13" t="s">
        <v>37</v>
      </c>
      <c r="C3" s="13" t="s">
        <v>38</v>
      </c>
      <c r="D3" s="14" t="s">
        <v>39</v>
      </c>
      <c r="E3" s="14" t="s">
        <v>40</v>
      </c>
      <c r="F3" s="14" t="s">
        <v>41</v>
      </c>
      <c r="G3" s="14" t="s">
        <v>42</v>
      </c>
      <c r="H3" s="13" t="s">
        <v>43</v>
      </c>
      <c r="I3" s="14" t="s">
        <v>44</v>
      </c>
      <c r="J3" s="13" t="s">
        <v>45</v>
      </c>
      <c r="K3" s="13" t="s">
        <v>46</v>
      </c>
      <c r="L3" s="13" t="s">
        <v>47</v>
      </c>
      <c r="M3" s="13" t="s">
        <v>23</v>
      </c>
    </row>
    <row r="4" spans="1:13" ht="15.75" thickBot="1" x14ac:dyDescent="0.3">
      <c r="A4" s="15"/>
      <c r="B4" s="16"/>
      <c r="C4" s="16"/>
      <c r="D4" s="16">
        <f>SUM(D5:D100)</f>
        <v>0</v>
      </c>
      <c r="E4" s="16">
        <f t="shared" ref="E4:L4" si="0">SUM(E5:E100)</f>
        <v>0</v>
      </c>
      <c r="F4" s="16">
        <f t="shared" si="0"/>
        <v>0</v>
      </c>
      <c r="G4" s="17">
        <f t="shared" si="0"/>
        <v>0</v>
      </c>
      <c r="H4" s="18">
        <f t="shared" si="0"/>
        <v>0</v>
      </c>
      <c r="I4" s="18">
        <f t="shared" si="0"/>
        <v>0</v>
      </c>
      <c r="J4" s="16">
        <f t="shared" si="0"/>
        <v>0</v>
      </c>
      <c r="K4" s="16">
        <f t="shared" si="0"/>
        <v>0</v>
      </c>
      <c r="L4" s="16">
        <f t="shared" si="0"/>
        <v>0</v>
      </c>
      <c r="M4" s="19">
        <f>SUM(E4,F4,G4,I4,J4,K4,L4)</f>
        <v>0</v>
      </c>
    </row>
    <row r="5" spans="1:13" x14ac:dyDescent="0.25">
      <c r="A5" s="20"/>
      <c r="B5" s="21"/>
      <c r="C5" s="22"/>
      <c r="D5" s="21"/>
      <c r="E5" s="21"/>
      <c r="F5" s="21"/>
      <c r="G5" s="22"/>
      <c r="H5" s="12"/>
      <c r="I5" s="12"/>
      <c r="J5" s="21"/>
      <c r="K5" s="21"/>
      <c r="L5" s="21"/>
      <c r="M5" s="21"/>
    </row>
    <row r="6" spans="1:13" x14ac:dyDescent="0.25">
      <c r="A6" s="12"/>
      <c r="B6" s="12"/>
      <c r="C6" s="23"/>
      <c r="D6" s="12"/>
      <c r="E6" s="12"/>
      <c r="F6" s="12"/>
      <c r="G6" s="23"/>
      <c r="H6" s="12"/>
      <c r="I6" s="12"/>
      <c r="J6" s="12"/>
      <c r="K6" s="12"/>
      <c r="L6" s="12"/>
      <c r="M6" s="12"/>
    </row>
    <row r="7" spans="1:13" x14ac:dyDescent="0.25">
      <c r="A7" s="12"/>
      <c r="B7" s="12"/>
      <c r="C7" s="23"/>
      <c r="D7" s="12"/>
      <c r="E7" s="12"/>
      <c r="F7" s="12"/>
      <c r="G7" s="23"/>
      <c r="H7" s="12"/>
      <c r="I7" s="12"/>
      <c r="J7" s="12"/>
      <c r="K7" s="12"/>
      <c r="L7" s="12"/>
      <c r="M7" s="12"/>
    </row>
    <row r="8" spans="1:13" x14ac:dyDescent="0.25">
      <c r="A8" s="12"/>
      <c r="B8" s="12"/>
      <c r="C8" s="23"/>
      <c r="D8" s="12"/>
      <c r="E8" s="12"/>
      <c r="F8" s="12"/>
      <c r="G8" s="23"/>
      <c r="H8" s="12"/>
      <c r="I8" s="12"/>
      <c r="J8" s="12"/>
      <c r="K8" s="12"/>
      <c r="L8" s="12"/>
      <c r="M8" s="12"/>
    </row>
    <row r="9" spans="1:13" x14ac:dyDescent="0.25">
      <c r="A9" s="12"/>
      <c r="B9" s="12"/>
      <c r="C9" s="23"/>
      <c r="D9" s="12"/>
      <c r="E9" s="12"/>
      <c r="F9" s="12"/>
      <c r="G9" s="23"/>
      <c r="H9" s="12"/>
      <c r="I9" s="12"/>
      <c r="J9" s="12"/>
      <c r="K9" s="12"/>
      <c r="L9" s="12"/>
      <c r="M9" s="23"/>
    </row>
    <row r="10" spans="1:13" x14ac:dyDescent="0.25">
      <c r="A10" s="12"/>
      <c r="B10" s="12"/>
      <c r="C10" s="12"/>
      <c r="D10" s="12"/>
      <c r="E10" s="12"/>
      <c r="F10" s="12"/>
      <c r="G10" s="23"/>
      <c r="H10" s="12"/>
      <c r="I10" s="12"/>
      <c r="J10" s="12"/>
      <c r="K10" s="12"/>
      <c r="L10" s="12"/>
      <c r="M10" s="12"/>
    </row>
    <row r="11" spans="1:13" x14ac:dyDescent="0.25">
      <c r="A11" s="12"/>
      <c r="B11" s="12"/>
      <c r="C11" s="12"/>
      <c r="D11" s="12"/>
      <c r="E11" s="12"/>
      <c r="F11" s="12"/>
      <c r="G11" s="23"/>
      <c r="H11" s="12"/>
      <c r="I11" s="12"/>
      <c r="J11" s="12"/>
      <c r="K11" s="12"/>
      <c r="L11" s="12"/>
      <c r="M11" s="12"/>
    </row>
    <row r="12" spans="1:13" x14ac:dyDescent="0.25">
      <c r="A12" s="12"/>
      <c r="B12" s="12"/>
      <c r="C12" s="12"/>
      <c r="D12" s="12"/>
      <c r="E12" s="12"/>
      <c r="F12" s="12"/>
      <c r="G12" s="23"/>
      <c r="H12" s="12"/>
      <c r="I12" s="12"/>
      <c r="J12" s="12"/>
      <c r="K12" s="12"/>
      <c r="L12" s="12"/>
      <c r="M12" s="12"/>
    </row>
    <row r="13" spans="1:13" x14ac:dyDescent="0.25">
      <c r="A13" s="12"/>
      <c r="B13" s="12"/>
      <c r="C13" s="12"/>
      <c r="D13" s="12"/>
      <c r="E13" s="12"/>
      <c r="F13" s="12"/>
      <c r="G13" s="23"/>
      <c r="H13" s="12"/>
      <c r="I13" s="12"/>
      <c r="J13" s="12"/>
      <c r="K13" s="12"/>
      <c r="L13" s="12"/>
      <c r="M13" s="12"/>
    </row>
    <row r="14" spans="1:13" x14ac:dyDescent="0.25">
      <c r="A14" s="12"/>
      <c r="B14" s="12"/>
      <c r="C14" s="12"/>
      <c r="D14" s="12"/>
      <c r="E14" s="12"/>
      <c r="F14" s="12"/>
      <c r="G14" s="23"/>
      <c r="H14" s="12"/>
      <c r="I14" s="12"/>
      <c r="J14" s="12"/>
      <c r="K14" s="12"/>
      <c r="L14" s="12"/>
      <c r="M14" s="12"/>
    </row>
    <row r="15" spans="1:13" x14ac:dyDescent="0.25">
      <c r="A15" s="12"/>
      <c r="B15" s="12"/>
      <c r="C15" s="12"/>
      <c r="D15" s="12"/>
      <c r="E15" s="12"/>
      <c r="F15" s="12"/>
      <c r="G15" s="23"/>
      <c r="H15" s="12"/>
      <c r="I15" s="12"/>
      <c r="J15" s="12"/>
      <c r="K15" s="12"/>
      <c r="L15" s="12"/>
      <c r="M15" s="12"/>
    </row>
    <row r="16" spans="1:13" x14ac:dyDescent="0.25">
      <c r="A16" s="12"/>
      <c r="B16" s="12"/>
      <c r="C16" s="12"/>
      <c r="D16" s="12"/>
      <c r="E16" s="12"/>
      <c r="F16" s="12"/>
      <c r="G16" s="23"/>
      <c r="H16" s="12"/>
      <c r="I16" s="12"/>
      <c r="J16" s="12"/>
      <c r="K16" s="12"/>
      <c r="L16" s="12"/>
      <c r="M16" s="12"/>
    </row>
    <row r="17" spans="1:13" x14ac:dyDescent="0.25">
      <c r="A17" s="12"/>
      <c r="B17" s="12"/>
      <c r="C17" s="12"/>
      <c r="D17" s="12"/>
      <c r="E17" s="12"/>
      <c r="F17" s="12"/>
      <c r="G17" s="23"/>
      <c r="H17" s="12"/>
      <c r="I17" s="12"/>
      <c r="J17" s="12"/>
      <c r="K17" s="12"/>
      <c r="L17" s="12"/>
      <c r="M17" s="12"/>
    </row>
    <row r="18" spans="1:13" x14ac:dyDescent="0.25">
      <c r="A18" s="12"/>
      <c r="B18" s="12"/>
      <c r="C18" s="12"/>
      <c r="D18" s="12"/>
      <c r="E18" s="12"/>
      <c r="F18" s="12"/>
      <c r="G18" s="23"/>
      <c r="H18" s="12"/>
      <c r="I18" s="12"/>
      <c r="J18" s="12"/>
      <c r="K18" s="12"/>
      <c r="L18" s="12"/>
      <c r="M18" s="12"/>
    </row>
    <row r="19" spans="1:13" x14ac:dyDescent="0.25">
      <c r="A19" s="12"/>
      <c r="B19" s="12"/>
      <c r="C19" s="12"/>
      <c r="D19" s="12"/>
      <c r="E19" s="12"/>
      <c r="F19" s="12"/>
      <c r="G19" s="23"/>
      <c r="H19" s="12"/>
      <c r="I19" s="12"/>
      <c r="J19" s="12"/>
      <c r="K19" s="12"/>
      <c r="L19" s="12"/>
      <c r="M19" s="12"/>
    </row>
    <row r="20" spans="1:13" x14ac:dyDescent="0.25">
      <c r="A20" s="12"/>
      <c r="B20" s="12"/>
      <c r="C20" s="12"/>
      <c r="D20" s="12"/>
      <c r="E20" s="12"/>
      <c r="F20" s="12"/>
      <c r="G20" s="23"/>
      <c r="H20" s="12"/>
      <c r="I20" s="12"/>
      <c r="J20" s="12"/>
      <c r="K20" s="12"/>
      <c r="L20" s="12"/>
      <c r="M20" s="12"/>
    </row>
    <row r="21" spans="1:13" x14ac:dyDescent="0.25">
      <c r="A21" s="12"/>
      <c r="B21" s="12"/>
      <c r="C21" s="12"/>
      <c r="D21" s="12"/>
      <c r="E21" s="12"/>
      <c r="F21" s="12"/>
      <c r="G21" s="23"/>
      <c r="H21" s="12"/>
      <c r="I21" s="12"/>
      <c r="J21" s="12"/>
      <c r="K21" s="12"/>
      <c r="L21" s="12"/>
      <c r="M21" s="12"/>
    </row>
    <row r="22" spans="1:13" x14ac:dyDescent="0.25">
      <c r="A22" s="12"/>
      <c r="B22" s="12"/>
      <c r="C22" s="12"/>
      <c r="D22" s="12"/>
      <c r="E22" s="12"/>
      <c r="F22" s="12"/>
      <c r="G22" s="23"/>
      <c r="H22" s="12"/>
      <c r="I22" s="12"/>
      <c r="J22" s="12"/>
      <c r="K22" s="12"/>
      <c r="L22" s="12"/>
      <c r="M22" s="12"/>
    </row>
    <row r="23" spans="1:13" x14ac:dyDescent="0.25">
      <c r="A23" s="12"/>
      <c r="B23" s="12"/>
      <c r="C23" s="12"/>
      <c r="D23" s="12"/>
      <c r="E23" s="12"/>
      <c r="F23" s="12"/>
      <c r="G23" s="23"/>
      <c r="H23" s="12"/>
      <c r="I23" s="12"/>
      <c r="J23" s="12"/>
      <c r="K23" s="12"/>
      <c r="L23" s="12"/>
      <c r="M23" s="12"/>
    </row>
    <row r="24" spans="1:13" x14ac:dyDescent="0.25">
      <c r="A24" s="12"/>
      <c r="B24" s="12"/>
      <c r="C24" s="12"/>
      <c r="D24" s="12"/>
      <c r="E24" s="12"/>
      <c r="F24" s="12"/>
      <c r="G24" s="23"/>
      <c r="H24" s="12"/>
      <c r="I24" s="12"/>
      <c r="J24" s="12"/>
      <c r="K24" s="12"/>
      <c r="L24" s="12"/>
      <c r="M24" s="12"/>
    </row>
    <row r="25" spans="1:13" x14ac:dyDescent="0.25">
      <c r="A25" s="12"/>
      <c r="B25" s="12"/>
      <c r="C25" s="12"/>
      <c r="D25" s="12"/>
      <c r="E25" s="12"/>
      <c r="F25" s="12"/>
      <c r="G25" s="23"/>
      <c r="H25" s="12"/>
      <c r="I25" s="12"/>
      <c r="J25" s="12"/>
      <c r="K25" s="12"/>
      <c r="L25" s="12"/>
      <c r="M25" s="12"/>
    </row>
    <row r="26" spans="1:13" x14ac:dyDescent="0.25">
      <c r="A26" s="12"/>
      <c r="B26" s="12"/>
      <c r="C26" s="12"/>
      <c r="D26" s="12"/>
      <c r="E26" s="12"/>
      <c r="F26" s="12"/>
      <c r="G26" s="23"/>
      <c r="H26" s="12"/>
      <c r="I26" s="12"/>
      <c r="J26" s="12"/>
      <c r="K26" s="12"/>
      <c r="L26" s="12"/>
      <c r="M26" s="12"/>
    </row>
    <row r="27" spans="1:13" x14ac:dyDescent="0.25">
      <c r="A27" s="12"/>
      <c r="B27" s="12"/>
      <c r="C27" s="12"/>
      <c r="D27" s="12"/>
      <c r="E27" s="12"/>
      <c r="F27" s="12"/>
      <c r="G27" s="23"/>
      <c r="H27" s="12"/>
      <c r="I27" s="12"/>
      <c r="J27" s="12"/>
      <c r="K27" s="12"/>
      <c r="L27" s="12"/>
      <c r="M27" s="12"/>
    </row>
    <row r="28" spans="1:13" x14ac:dyDescent="0.25">
      <c r="A28" s="12"/>
      <c r="B28" s="12"/>
      <c r="C28" s="12"/>
      <c r="D28" s="12"/>
      <c r="E28" s="12"/>
      <c r="F28" s="12"/>
      <c r="G28" s="23"/>
      <c r="H28" s="12"/>
      <c r="I28" s="12"/>
      <c r="J28" s="12"/>
      <c r="K28" s="12"/>
      <c r="L28" s="12"/>
      <c r="M28" s="12"/>
    </row>
    <row r="29" spans="1:13" x14ac:dyDescent="0.25">
      <c r="A29" s="12"/>
      <c r="B29" s="12"/>
      <c r="C29" s="12"/>
      <c r="D29" s="12"/>
      <c r="E29" s="12"/>
      <c r="F29" s="12"/>
      <c r="G29" s="23"/>
      <c r="H29" s="12"/>
      <c r="I29" s="12"/>
      <c r="J29" s="12"/>
      <c r="K29" s="12"/>
      <c r="L29" s="12"/>
      <c r="M29" s="12"/>
    </row>
    <row r="30" spans="1:13" x14ac:dyDescent="0.25">
      <c r="A30" s="12"/>
      <c r="B30" s="12"/>
      <c r="C30" s="12"/>
      <c r="D30" s="12"/>
      <c r="E30" s="12"/>
      <c r="F30" s="12"/>
      <c r="G30" s="23"/>
      <c r="H30" s="12"/>
      <c r="I30" s="12"/>
      <c r="J30" s="12"/>
      <c r="K30" s="12"/>
      <c r="L30" s="12"/>
      <c r="M30" s="12"/>
    </row>
    <row r="31" spans="1:13" x14ac:dyDescent="0.25">
      <c r="A31" s="12"/>
      <c r="B31" s="12"/>
      <c r="C31" s="12"/>
      <c r="D31" s="12"/>
      <c r="E31" s="12"/>
      <c r="F31" s="12"/>
      <c r="G31" s="23"/>
      <c r="H31" s="12"/>
      <c r="I31" s="12"/>
      <c r="J31" s="12"/>
      <c r="K31" s="12"/>
      <c r="L31" s="12"/>
      <c r="M31" s="12"/>
    </row>
    <row r="32" spans="1:13" x14ac:dyDescent="0.25">
      <c r="A32" s="12"/>
      <c r="B32" s="12"/>
      <c r="C32" s="12"/>
      <c r="D32" s="12"/>
      <c r="E32" s="12"/>
      <c r="F32" s="12"/>
      <c r="G32" s="23"/>
      <c r="H32" s="12"/>
      <c r="I32" s="12"/>
      <c r="J32" s="12"/>
      <c r="K32" s="12"/>
      <c r="L32" s="12"/>
      <c r="M32" s="12"/>
    </row>
    <row r="33" spans="1:13" x14ac:dyDescent="0.25">
      <c r="A33" s="12"/>
      <c r="B33" s="12"/>
      <c r="C33" s="12"/>
      <c r="D33" s="12"/>
      <c r="E33" s="12"/>
      <c r="F33" s="12"/>
      <c r="G33" s="23"/>
      <c r="H33" s="12"/>
      <c r="I33" s="12"/>
      <c r="J33" s="12"/>
      <c r="K33" s="12"/>
      <c r="L33" s="12"/>
      <c r="M33" s="12"/>
    </row>
    <row r="34" spans="1:13" x14ac:dyDescent="0.25">
      <c r="A34" s="12"/>
      <c r="B34" s="12"/>
      <c r="C34" s="12"/>
      <c r="D34" s="12"/>
      <c r="E34" s="12"/>
      <c r="F34" s="12"/>
      <c r="G34" s="23"/>
      <c r="H34" s="12"/>
      <c r="I34" s="12"/>
      <c r="J34" s="12"/>
      <c r="K34" s="12"/>
      <c r="L34" s="12"/>
      <c r="M34" s="12"/>
    </row>
    <row r="35" spans="1:13" x14ac:dyDescent="0.25">
      <c r="A35" s="12"/>
      <c r="B35" s="12"/>
      <c r="C35" s="12"/>
      <c r="D35" s="12"/>
      <c r="E35" s="12"/>
      <c r="F35" s="12"/>
      <c r="G35" s="23"/>
      <c r="H35" s="12"/>
      <c r="I35" s="12"/>
      <c r="J35" s="12"/>
      <c r="K35" s="12"/>
      <c r="L35" s="12"/>
      <c r="M35" s="12"/>
    </row>
    <row r="36" spans="1:13" x14ac:dyDescent="0.25">
      <c r="A36" s="12"/>
      <c r="B36" s="12"/>
      <c r="C36" s="12"/>
      <c r="D36" s="12"/>
      <c r="E36" s="12"/>
      <c r="F36" s="12"/>
      <c r="G36" s="23"/>
      <c r="H36" s="12"/>
      <c r="I36" s="12"/>
      <c r="J36" s="12"/>
      <c r="K36" s="12"/>
      <c r="L36" s="12"/>
      <c r="M36" s="12"/>
    </row>
    <row r="37" spans="1:13" x14ac:dyDescent="0.25">
      <c r="A37" s="12"/>
      <c r="B37" s="12"/>
      <c r="C37" s="12"/>
      <c r="D37" s="12"/>
      <c r="E37" s="12"/>
      <c r="F37" s="12"/>
      <c r="G37" s="23"/>
      <c r="H37" s="12"/>
      <c r="I37" s="12"/>
      <c r="J37" s="12"/>
      <c r="K37" s="12"/>
      <c r="L37" s="12"/>
      <c r="M37" s="12"/>
    </row>
    <row r="38" spans="1:13" x14ac:dyDescent="0.25">
      <c r="A38" s="12"/>
      <c r="B38" s="12"/>
      <c r="C38" s="12"/>
      <c r="D38" s="12"/>
      <c r="E38" s="12"/>
      <c r="F38" s="12"/>
      <c r="G38" s="23"/>
      <c r="H38" s="12"/>
      <c r="I38" s="12"/>
      <c r="J38" s="12"/>
      <c r="K38" s="12"/>
      <c r="L38" s="12"/>
      <c r="M38" s="12"/>
    </row>
    <row r="39" spans="1:13" x14ac:dyDescent="0.25">
      <c r="A39" s="12"/>
      <c r="B39" s="12"/>
      <c r="C39" s="12"/>
      <c r="D39" s="12"/>
      <c r="E39" s="12"/>
      <c r="F39" s="12"/>
      <c r="G39" s="23"/>
      <c r="H39" s="12"/>
      <c r="I39" s="12"/>
      <c r="J39" s="12"/>
      <c r="K39" s="12"/>
      <c r="L39" s="12"/>
      <c r="M39" s="12"/>
    </row>
    <row r="40" spans="1:13" x14ac:dyDescent="0.25">
      <c r="A40" s="12"/>
      <c r="B40" s="12"/>
      <c r="C40" s="12"/>
      <c r="D40" s="12"/>
      <c r="E40" s="12"/>
      <c r="F40" s="12"/>
      <c r="G40" s="23"/>
      <c r="H40" s="12"/>
      <c r="I40" s="12"/>
      <c r="J40" s="12"/>
      <c r="K40" s="12"/>
      <c r="L40" s="12"/>
      <c r="M40" s="12"/>
    </row>
    <row r="41" spans="1:13" x14ac:dyDescent="0.25">
      <c r="A41" s="12"/>
      <c r="B41" s="12"/>
      <c r="C41" s="12"/>
      <c r="D41" s="12"/>
      <c r="E41" s="12"/>
      <c r="F41" s="12"/>
      <c r="G41" s="23"/>
      <c r="H41" s="12"/>
      <c r="I41" s="12"/>
      <c r="J41" s="12"/>
      <c r="K41" s="12"/>
      <c r="L41" s="12"/>
      <c r="M41" s="12"/>
    </row>
    <row r="42" spans="1:13" x14ac:dyDescent="0.25">
      <c r="A42" s="12"/>
      <c r="B42" s="12"/>
      <c r="C42" s="12"/>
      <c r="D42" s="12"/>
      <c r="E42" s="12"/>
      <c r="F42" s="12"/>
      <c r="G42" s="23"/>
      <c r="H42" s="12"/>
      <c r="I42" s="12"/>
      <c r="J42" s="12"/>
      <c r="K42" s="12"/>
      <c r="L42" s="12"/>
      <c r="M42" s="12"/>
    </row>
    <row r="43" spans="1:13" x14ac:dyDescent="0.25">
      <c r="A43" s="12"/>
      <c r="B43" s="12"/>
      <c r="C43" s="12"/>
      <c r="D43" s="12"/>
      <c r="E43" s="12"/>
      <c r="F43" s="12"/>
      <c r="G43" s="23"/>
      <c r="H43" s="12"/>
      <c r="I43" s="12"/>
      <c r="J43" s="12"/>
      <c r="K43" s="12"/>
      <c r="L43" s="12"/>
      <c r="M43" s="12"/>
    </row>
    <row r="44" spans="1:13" x14ac:dyDescent="0.25">
      <c r="A44" s="12"/>
      <c r="B44" s="12"/>
      <c r="C44" s="12"/>
      <c r="D44" s="12"/>
      <c r="E44" s="12"/>
      <c r="F44" s="12"/>
      <c r="G44" s="23"/>
      <c r="H44" s="12"/>
      <c r="I44" s="12"/>
      <c r="J44" s="12"/>
      <c r="K44" s="12"/>
      <c r="L44" s="12"/>
      <c r="M44" s="12"/>
    </row>
    <row r="45" spans="1:13" x14ac:dyDescent="0.25">
      <c r="A45" s="12"/>
      <c r="B45" s="12"/>
      <c r="C45" s="12"/>
      <c r="D45" s="12"/>
      <c r="E45" s="12"/>
      <c r="F45" s="12"/>
      <c r="G45" s="23"/>
      <c r="H45" s="12"/>
      <c r="I45" s="12"/>
      <c r="J45" s="12"/>
      <c r="K45" s="12"/>
      <c r="L45" s="12"/>
      <c r="M45" s="12"/>
    </row>
    <row r="46" spans="1:13" x14ac:dyDescent="0.25">
      <c r="A46" s="12"/>
      <c r="B46" s="12"/>
      <c r="C46" s="12"/>
      <c r="D46" s="12"/>
      <c r="E46" s="12"/>
      <c r="F46" s="12"/>
      <c r="G46" s="23"/>
      <c r="H46" s="12"/>
      <c r="I46" s="12"/>
      <c r="J46" s="12"/>
      <c r="K46" s="12"/>
      <c r="L46" s="12"/>
      <c r="M46" s="12"/>
    </row>
    <row r="47" spans="1:13" x14ac:dyDescent="0.25">
      <c r="A47" s="12"/>
      <c r="B47" s="12"/>
      <c r="C47" s="12"/>
      <c r="D47" s="12"/>
      <c r="E47" s="12"/>
      <c r="F47" s="12"/>
      <c r="G47" s="23"/>
      <c r="H47" s="12"/>
      <c r="I47" s="12"/>
      <c r="J47" s="12"/>
      <c r="K47" s="12"/>
      <c r="L47" s="12"/>
      <c r="M47" s="12"/>
    </row>
    <row r="48" spans="1:13" x14ac:dyDescent="0.25">
      <c r="A48" s="12"/>
      <c r="B48" s="12"/>
      <c r="C48" s="12"/>
      <c r="D48" s="12"/>
      <c r="E48" s="12"/>
      <c r="F48" s="12"/>
      <c r="G48" s="23"/>
      <c r="H48" s="12"/>
      <c r="I48" s="12"/>
      <c r="J48" s="12"/>
      <c r="K48" s="12"/>
      <c r="L48" s="12"/>
      <c r="M48" s="12"/>
    </row>
    <row r="49" spans="1:13" x14ac:dyDescent="0.25">
      <c r="A49" s="12"/>
      <c r="B49" s="12"/>
      <c r="C49" s="12"/>
      <c r="D49" s="12"/>
      <c r="E49" s="12"/>
      <c r="F49" s="12"/>
      <c r="G49" s="23"/>
      <c r="H49" s="12"/>
      <c r="I49" s="12"/>
      <c r="J49" s="12"/>
      <c r="K49" s="12"/>
      <c r="L49" s="12"/>
      <c r="M49" s="12"/>
    </row>
    <row r="50" spans="1:13" x14ac:dyDescent="0.25">
      <c r="A50" s="12"/>
      <c r="B50" s="12"/>
      <c r="C50" s="12"/>
      <c r="D50" s="12"/>
      <c r="E50" s="12"/>
      <c r="F50" s="12"/>
      <c r="G50" s="23"/>
      <c r="H50" s="12"/>
      <c r="I50" s="12"/>
      <c r="J50" s="12"/>
      <c r="K50" s="12"/>
      <c r="L50" s="12"/>
      <c r="M50" s="12"/>
    </row>
    <row r="51" spans="1:13" x14ac:dyDescent="0.25">
      <c r="A51" s="12"/>
      <c r="B51" s="12"/>
      <c r="C51" s="12"/>
      <c r="D51" s="12"/>
      <c r="E51" s="12"/>
      <c r="F51" s="12"/>
      <c r="G51" s="23"/>
      <c r="H51" s="12"/>
      <c r="I51" s="12"/>
      <c r="J51" s="12"/>
      <c r="K51" s="12"/>
      <c r="L51" s="12"/>
      <c r="M51" s="12"/>
    </row>
    <row r="52" spans="1:13" x14ac:dyDescent="0.25">
      <c r="A52" s="12"/>
      <c r="B52" s="12"/>
      <c r="C52" s="12"/>
      <c r="D52" s="12"/>
      <c r="E52" s="12"/>
      <c r="F52" s="12"/>
      <c r="G52" s="23"/>
      <c r="H52" s="12"/>
      <c r="I52" s="12"/>
      <c r="J52" s="12"/>
      <c r="K52" s="12"/>
      <c r="L52" s="12"/>
      <c r="M52" s="12"/>
    </row>
    <row r="53" spans="1:13" x14ac:dyDescent="0.25">
      <c r="A53" s="12"/>
      <c r="B53" s="12"/>
      <c r="C53" s="12"/>
      <c r="D53" s="12"/>
      <c r="E53" s="12"/>
      <c r="F53" s="12"/>
      <c r="G53" s="23"/>
      <c r="H53" s="12"/>
      <c r="I53" s="12"/>
      <c r="J53" s="12"/>
      <c r="K53" s="12"/>
      <c r="L53" s="12"/>
      <c r="M53" s="12"/>
    </row>
    <row r="54" spans="1:13" x14ac:dyDescent="0.25">
      <c r="A54" s="12"/>
      <c r="B54" s="12"/>
      <c r="C54" s="12"/>
      <c r="D54" s="12"/>
      <c r="E54" s="12"/>
      <c r="F54" s="12"/>
      <c r="G54" s="23"/>
      <c r="H54" s="12"/>
      <c r="I54" s="12"/>
      <c r="J54" s="12"/>
      <c r="K54" s="12"/>
      <c r="L54" s="12"/>
      <c r="M54" s="12"/>
    </row>
    <row r="55" spans="1:13" x14ac:dyDescent="0.25">
      <c r="A55" s="12"/>
      <c r="B55" s="12"/>
      <c r="C55" s="12"/>
      <c r="D55" s="12"/>
      <c r="E55" s="12"/>
      <c r="F55" s="12"/>
      <c r="G55" s="23"/>
      <c r="H55" s="12"/>
      <c r="I55" s="12"/>
      <c r="J55" s="12"/>
      <c r="K55" s="12"/>
      <c r="L55" s="12"/>
      <c r="M55" s="12"/>
    </row>
    <row r="56" spans="1:13" x14ac:dyDescent="0.25">
      <c r="A56" s="12"/>
      <c r="B56" s="12"/>
      <c r="C56" s="12"/>
      <c r="D56" s="12"/>
      <c r="E56" s="12"/>
      <c r="F56" s="12"/>
      <c r="G56" s="23"/>
      <c r="H56" s="12"/>
      <c r="I56" s="12"/>
      <c r="J56" s="12"/>
      <c r="K56" s="12"/>
      <c r="L56" s="12"/>
      <c r="M56" s="12"/>
    </row>
    <row r="57" spans="1:13" x14ac:dyDescent="0.25">
      <c r="A57" s="12"/>
      <c r="B57" s="12"/>
      <c r="C57" s="12"/>
      <c r="D57" s="12"/>
      <c r="E57" s="12"/>
      <c r="F57" s="12"/>
      <c r="G57" s="23"/>
      <c r="H57" s="12"/>
      <c r="I57" s="12"/>
      <c r="J57" s="12"/>
      <c r="K57" s="12"/>
      <c r="L57" s="12"/>
      <c r="M57" s="12"/>
    </row>
    <row r="58" spans="1:13" x14ac:dyDescent="0.25">
      <c r="A58" s="12"/>
      <c r="B58" s="12"/>
      <c r="C58" s="12"/>
      <c r="D58" s="12"/>
      <c r="E58" s="12"/>
      <c r="F58" s="12"/>
      <c r="G58" s="23"/>
      <c r="H58" s="12"/>
      <c r="I58" s="12"/>
      <c r="J58" s="12"/>
      <c r="K58" s="12"/>
      <c r="L58" s="12"/>
      <c r="M58" s="12"/>
    </row>
    <row r="59" spans="1:13" x14ac:dyDescent="0.25">
      <c r="A59" s="12"/>
      <c r="B59" s="12"/>
      <c r="C59" s="12"/>
      <c r="D59" s="12"/>
      <c r="E59" s="12"/>
      <c r="F59" s="12"/>
      <c r="G59" s="23"/>
      <c r="H59" s="12"/>
      <c r="I59" s="12"/>
      <c r="J59" s="12"/>
      <c r="K59" s="12"/>
      <c r="L59" s="12"/>
      <c r="M59" s="12"/>
    </row>
    <row r="60" spans="1:13" x14ac:dyDescent="0.25">
      <c r="A60" s="12"/>
      <c r="B60" s="12"/>
      <c r="C60" s="12"/>
      <c r="D60" s="12"/>
      <c r="E60" s="12"/>
      <c r="F60" s="12"/>
      <c r="G60" s="23"/>
      <c r="H60" s="12"/>
      <c r="I60" s="12"/>
      <c r="J60" s="12"/>
      <c r="K60" s="12"/>
      <c r="L60" s="12"/>
      <c r="M60" s="12"/>
    </row>
    <row r="61" spans="1:13" x14ac:dyDescent="0.25">
      <c r="A61" s="12"/>
      <c r="B61" s="12"/>
      <c r="C61" s="12"/>
      <c r="D61" s="12"/>
      <c r="E61" s="12"/>
      <c r="F61" s="12"/>
      <c r="G61" s="23"/>
      <c r="H61" s="12"/>
      <c r="I61" s="12"/>
      <c r="J61" s="12"/>
      <c r="K61" s="12"/>
      <c r="L61" s="12"/>
      <c r="M61" s="12"/>
    </row>
    <row r="62" spans="1:13" x14ac:dyDescent="0.25">
      <c r="A62" s="12"/>
      <c r="B62" s="12"/>
      <c r="C62" s="12"/>
      <c r="D62" s="12"/>
      <c r="E62" s="12"/>
      <c r="F62" s="12"/>
      <c r="G62" s="23"/>
      <c r="H62" s="12"/>
      <c r="I62" s="12"/>
      <c r="J62" s="12"/>
      <c r="K62" s="12"/>
      <c r="L62" s="12"/>
      <c r="M62" s="12"/>
    </row>
    <row r="63" spans="1:13" x14ac:dyDescent="0.25">
      <c r="A63" s="12"/>
      <c r="B63" s="12"/>
      <c r="C63" s="12"/>
      <c r="D63" s="12"/>
      <c r="E63" s="12"/>
      <c r="F63" s="12"/>
      <c r="G63" s="23"/>
      <c r="H63" s="12"/>
      <c r="I63" s="12"/>
      <c r="J63" s="12"/>
      <c r="K63" s="12"/>
      <c r="L63" s="12"/>
      <c r="M63" s="12"/>
    </row>
    <row r="64" spans="1:13" x14ac:dyDescent="0.25">
      <c r="A64" s="12"/>
      <c r="B64" s="12"/>
      <c r="C64" s="12"/>
      <c r="D64" s="12"/>
      <c r="E64" s="12"/>
      <c r="F64" s="12"/>
      <c r="G64" s="23"/>
      <c r="H64" s="12"/>
      <c r="I64" s="12"/>
      <c r="J64" s="12"/>
      <c r="K64" s="12"/>
      <c r="L64" s="12"/>
      <c r="M64" s="12"/>
    </row>
    <row r="65" spans="1:13" x14ac:dyDescent="0.25">
      <c r="A65" s="12"/>
      <c r="B65" s="12"/>
      <c r="C65" s="12"/>
      <c r="D65" s="12"/>
      <c r="E65" s="12"/>
      <c r="F65" s="12"/>
      <c r="G65" s="23"/>
      <c r="H65" s="12"/>
      <c r="I65" s="12"/>
      <c r="J65" s="12"/>
      <c r="K65" s="12"/>
      <c r="L65" s="12"/>
      <c r="M65" s="12"/>
    </row>
    <row r="66" spans="1:13" x14ac:dyDescent="0.25">
      <c r="A66" s="12"/>
      <c r="B66" s="12"/>
      <c r="C66" s="12"/>
      <c r="D66" s="12"/>
      <c r="E66" s="12"/>
      <c r="F66" s="12"/>
      <c r="G66" s="23"/>
      <c r="H66" s="12"/>
      <c r="I66" s="12"/>
      <c r="J66" s="12"/>
      <c r="K66" s="12"/>
      <c r="L66" s="12"/>
      <c r="M66" s="12"/>
    </row>
    <row r="67" spans="1:13" x14ac:dyDescent="0.25">
      <c r="A67" s="12"/>
      <c r="B67" s="12"/>
      <c r="C67" s="12"/>
      <c r="D67" s="12"/>
      <c r="E67" s="12"/>
      <c r="F67" s="12"/>
      <c r="G67" s="23"/>
      <c r="H67" s="12"/>
      <c r="I67" s="12"/>
      <c r="J67" s="12"/>
      <c r="K67" s="12"/>
      <c r="L67" s="12"/>
      <c r="M67" s="12"/>
    </row>
    <row r="68" spans="1:13" x14ac:dyDescent="0.25">
      <c r="A68" s="12"/>
      <c r="B68" s="12"/>
      <c r="C68" s="12"/>
      <c r="D68" s="12"/>
      <c r="E68" s="12"/>
      <c r="F68" s="12"/>
      <c r="G68" s="23"/>
      <c r="H68" s="12"/>
      <c r="I68" s="12"/>
      <c r="J68" s="12"/>
      <c r="K68" s="12"/>
      <c r="L68" s="12"/>
      <c r="M68" s="12"/>
    </row>
    <row r="69" spans="1:13" x14ac:dyDescent="0.25">
      <c r="A69" s="12"/>
      <c r="B69" s="12"/>
      <c r="C69" s="12"/>
      <c r="D69" s="12"/>
      <c r="E69" s="12"/>
      <c r="F69" s="12"/>
      <c r="G69" s="23"/>
      <c r="H69" s="12"/>
      <c r="I69" s="12"/>
      <c r="J69" s="12"/>
      <c r="K69" s="12"/>
      <c r="L69" s="12"/>
      <c r="M69" s="12"/>
    </row>
    <row r="70" spans="1:13" x14ac:dyDescent="0.25">
      <c r="A70" s="12"/>
      <c r="B70" s="12"/>
      <c r="C70" s="12"/>
      <c r="D70" s="12"/>
      <c r="E70" s="12"/>
      <c r="F70" s="12"/>
      <c r="G70" s="23"/>
      <c r="H70" s="12"/>
      <c r="I70" s="12"/>
      <c r="J70" s="12"/>
      <c r="K70" s="12"/>
      <c r="L70" s="12"/>
      <c r="M70" s="12"/>
    </row>
    <row r="71" spans="1:13" x14ac:dyDescent="0.25">
      <c r="A71" s="12"/>
      <c r="B71" s="12"/>
      <c r="C71" s="12"/>
      <c r="D71" s="12"/>
      <c r="E71" s="12"/>
      <c r="F71" s="12"/>
      <c r="G71" s="23"/>
      <c r="H71" s="12"/>
      <c r="I71" s="12"/>
      <c r="J71" s="12"/>
      <c r="K71" s="12"/>
      <c r="L71" s="12"/>
      <c r="M71" s="12"/>
    </row>
    <row r="72" spans="1:13" x14ac:dyDescent="0.25">
      <c r="A72" s="12"/>
      <c r="B72" s="12"/>
      <c r="C72" s="12"/>
      <c r="D72" s="12"/>
      <c r="E72" s="12"/>
      <c r="F72" s="12"/>
      <c r="G72" s="23"/>
      <c r="H72" s="12"/>
      <c r="I72" s="12"/>
      <c r="J72" s="12"/>
      <c r="K72" s="12"/>
      <c r="L72" s="12"/>
      <c r="M72" s="12"/>
    </row>
    <row r="73" spans="1:13" x14ac:dyDescent="0.25">
      <c r="A73" s="12"/>
      <c r="B73" s="12"/>
      <c r="C73" s="12"/>
      <c r="D73" s="12"/>
      <c r="E73" s="12"/>
      <c r="F73" s="12"/>
      <c r="G73" s="23"/>
      <c r="H73" s="12"/>
      <c r="I73" s="12"/>
      <c r="J73" s="12"/>
      <c r="K73" s="12"/>
      <c r="L73" s="12"/>
      <c r="M73" s="12"/>
    </row>
    <row r="74" spans="1:13" x14ac:dyDescent="0.25">
      <c r="A74" s="12"/>
      <c r="B74" s="12"/>
      <c r="C74" s="12"/>
      <c r="D74" s="12"/>
      <c r="E74" s="12"/>
      <c r="F74" s="12"/>
      <c r="G74" s="23"/>
      <c r="H74" s="12"/>
      <c r="I74" s="12"/>
      <c r="J74" s="12"/>
      <c r="K74" s="12"/>
      <c r="L74" s="12"/>
      <c r="M74" s="12"/>
    </row>
    <row r="75" spans="1:13" x14ac:dyDescent="0.25">
      <c r="A75" s="12"/>
      <c r="B75" s="12"/>
      <c r="C75" s="12"/>
      <c r="D75" s="12"/>
      <c r="E75" s="12"/>
      <c r="F75" s="12"/>
      <c r="G75" s="23"/>
      <c r="H75" s="12"/>
      <c r="I75" s="12"/>
      <c r="J75" s="12"/>
      <c r="K75" s="12"/>
      <c r="L75" s="12"/>
      <c r="M75" s="12"/>
    </row>
    <row r="76" spans="1:13" x14ac:dyDescent="0.25">
      <c r="A76" s="12"/>
      <c r="B76" s="12"/>
      <c r="C76" s="12"/>
      <c r="D76" s="12"/>
      <c r="E76" s="12"/>
      <c r="F76" s="12"/>
      <c r="G76" s="23"/>
      <c r="H76" s="12"/>
      <c r="I76" s="12"/>
      <c r="J76" s="12"/>
      <c r="K76" s="12"/>
      <c r="L76" s="12"/>
      <c r="M76" s="12"/>
    </row>
    <row r="77" spans="1:13" x14ac:dyDescent="0.25">
      <c r="A77" s="12"/>
      <c r="B77" s="12"/>
      <c r="C77" s="12"/>
      <c r="D77" s="12"/>
      <c r="E77" s="12"/>
      <c r="F77" s="12"/>
      <c r="G77" s="23"/>
      <c r="H77" s="12"/>
      <c r="I77" s="12"/>
      <c r="J77" s="12"/>
      <c r="K77" s="12"/>
      <c r="L77" s="12"/>
      <c r="M77" s="12"/>
    </row>
    <row r="78" spans="1:13" x14ac:dyDescent="0.25">
      <c r="A78" s="12"/>
      <c r="B78" s="12"/>
      <c r="C78" s="12"/>
      <c r="D78" s="12"/>
      <c r="E78" s="12"/>
      <c r="F78" s="12"/>
      <c r="G78" s="23"/>
      <c r="H78" s="12"/>
      <c r="I78" s="12"/>
      <c r="J78" s="12"/>
      <c r="K78" s="12"/>
      <c r="L78" s="12"/>
      <c r="M78" s="12"/>
    </row>
    <row r="79" spans="1:13" x14ac:dyDescent="0.25">
      <c r="A79" s="12"/>
      <c r="B79" s="12"/>
      <c r="C79" s="12"/>
      <c r="D79" s="12"/>
      <c r="E79" s="12"/>
      <c r="F79" s="12"/>
      <c r="G79" s="23"/>
      <c r="H79" s="12"/>
      <c r="I79" s="12"/>
      <c r="J79" s="12"/>
      <c r="K79" s="12"/>
      <c r="L79" s="12"/>
      <c r="M79" s="12"/>
    </row>
    <row r="80" spans="1:13" x14ac:dyDescent="0.25">
      <c r="A80" s="12"/>
      <c r="B80" s="12"/>
      <c r="C80" s="12"/>
      <c r="D80" s="12"/>
      <c r="E80" s="12"/>
      <c r="F80" s="12"/>
      <c r="G80" s="23"/>
      <c r="H80" s="12"/>
      <c r="I80" s="12"/>
      <c r="J80" s="12"/>
      <c r="K80" s="12"/>
      <c r="L80" s="12"/>
      <c r="M80" s="12"/>
    </row>
    <row r="81" spans="1:13" x14ac:dyDescent="0.25">
      <c r="A81" s="12"/>
      <c r="B81" s="12"/>
      <c r="C81" s="12"/>
      <c r="D81" s="12"/>
      <c r="E81" s="12"/>
      <c r="F81" s="12"/>
      <c r="G81" s="23"/>
      <c r="H81" s="12"/>
      <c r="I81" s="12"/>
      <c r="J81" s="12"/>
      <c r="K81" s="12"/>
      <c r="L81" s="12"/>
      <c r="M81" s="12"/>
    </row>
    <row r="82" spans="1:13" x14ac:dyDescent="0.25">
      <c r="A82" s="12"/>
      <c r="B82" s="12"/>
      <c r="C82" s="12"/>
      <c r="D82" s="12"/>
      <c r="E82" s="12"/>
      <c r="F82" s="12"/>
      <c r="G82" s="23"/>
      <c r="H82" s="12"/>
      <c r="I82" s="12"/>
      <c r="J82" s="12"/>
      <c r="K82" s="12"/>
      <c r="L82" s="12"/>
      <c r="M82" s="12"/>
    </row>
    <row r="83" spans="1:13" x14ac:dyDescent="0.25">
      <c r="A83" s="12"/>
      <c r="B83" s="12"/>
      <c r="C83" s="12"/>
      <c r="D83" s="12"/>
      <c r="E83" s="12"/>
      <c r="F83" s="12"/>
      <c r="G83" s="23"/>
      <c r="H83" s="12"/>
      <c r="I83" s="12"/>
      <c r="J83" s="12"/>
      <c r="K83" s="12"/>
      <c r="L83" s="12"/>
      <c r="M83" s="12"/>
    </row>
    <row r="84" spans="1:13" x14ac:dyDescent="0.25">
      <c r="A84" s="12"/>
      <c r="B84" s="12"/>
      <c r="C84" s="12"/>
      <c r="D84" s="12"/>
      <c r="E84" s="12"/>
      <c r="F84" s="12"/>
      <c r="G84" s="23"/>
      <c r="H84" s="12"/>
      <c r="I84" s="12"/>
      <c r="J84" s="12"/>
      <c r="K84" s="12"/>
      <c r="L84" s="12"/>
      <c r="M84" s="12"/>
    </row>
    <row r="85" spans="1:13" x14ac:dyDescent="0.25">
      <c r="A85" s="12"/>
      <c r="B85" s="12"/>
      <c r="C85" s="12"/>
      <c r="D85" s="12"/>
      <c r="E85" s="12"/>
      <c r="F85" s="12"/>
      <c r="G85" s="23"/>
      <c r="H85" s="12"/>
      <c r="I85" s="12"/>
      <c r="J85" s="12"/>
      <c r="K85" s="12"/>
      <c r="L85" s="12"/>
      <c r="M85" s="12"/>
    </row>
    <row r="86" spans="1:13" x14ac:dyDescent="0.25">
      <c r="A86" s="12"/>
      <c r="B86" s="12"/>
      <c r="C86" s="12"/>
      <c r="D86" s="12"/>
      <c r="E86" s="12"/>
      <c r="F86" s="12"/>
      <c r="G86" s="23"/>
      <c r="H86" s="12"/>
      <c r="I86" s="12"/>
      <c r="J86" s="12"/>
      <c r="K86" s="12"/>
      <c r="L86" s="12"/>
      <c r="M86" s="12"/>
    </row>
    <row r="87" spans="1:13" x14ac:dyDescent="0.25">
      <c r="A87" s="12"/>
      <c r="B87" s="12"/>
      <c r="C87" s="12"/>
      <c r="D87" s="12"/>
      <c r="E87" s="12"/>
      <c r="F87" s="12"/>
      <c r="G87" s="23"/>
      <c r="H87" s="12"/>
      <c r="I87" s="12"/>
      <c r="J87" s="12"/>
      <c r="K87" s="12"/>
      <c r="L87" s="12"/>
      <c r="M87" s="12"/>
    </row>
    <row r="88" spans="1:13" x14ac:dyDescent="0.25">
      <c r="A88" s="12"/>
      <c r="B88" s="12"/>
      <c r="C88" s="12"/>
      <c r="D88" s="12"/>
      <c r="E88" s="12"/>
      <c r="F88" s="12"/>
      <c r="G88" s="23"/>
      <c r="H88" s="12"/>
      <c r="I88" s="12"/>
      <c r="J88" s="12"/>
      <c r="K88" s="12"/>
      <c r="L88" s="12"/>
      <c r="M88" s="12"/>
    </row>
    <row r="89" spans="1:13" x14ac:dyDescent="0.25">
      <c r="A89" s="12"/>
      <c r="B89" s="12"/>
      <c r="C89" s="12"/>
      <c r="D89" s="12"/>
      <c r="E89" s="12"/>
      <c r="F89" s="12"/>
      <c r="G89" s="23"/>
      <c r="H89" s="12"/>
      <c r="I89" s="12"/>
      <c r="J89" s="12"/>
      <c r="K89" s="12"/>
      <c r="L89" s="12"/>
      <c r="M89" s="12"/>
    </row>
    <row r="90" spans="1:13" x14ac:dyDescent="0.25">
      <c r="A90" s="12"/>
      <c r="B90" s="12"/>
      <c r="C90" s="12"/>
      <c r="D90" s="12"/>
      <c r="E90" s="12"/>
      <c r="F90" s="12"/>
      <c r="G90" s="23"/>
      <c r="H90" s="12"/>
      <c r="I90" s="12"/>
      <c r="J90" s="12"/>
      <c r="K90" s="12"/>
      <c r="L90" s="12"/>
      <c r="M90" s="12"/>
    </row>
    <row r="91" spans="1:13" x14ac:dyDescent="0.25">
      <c r="A91" s="12"/>
      <c r="B91" s="12"/>
      <c r="C91" s="12"/>
      <c r="D91" s="12"/>
      <c r="E91" s="12"/>
      <c r="F91" s="12"/>
      <c r="G91" s="23"/>
      <c r="H91" s="12"/>
      <c r="I91" s="12"/>
      <c r="J91" s="12"/>
      <c r="K91" s="12"/>
      <c r="L91" s="12"/>
      <c r="M91" s="12"/>
    </row>
    <row r="92" spans="1:13" x14ac:dyDescent="0.25">
      <c r="A92" s="12"/>
      <c r="B92" s="12"/>
      <c r="C92" s="12"/>
      <c r="D92" s="12"/>
      <c r="E92" s="12"/>
      <c r="F92" s="12"/>
      <c r="G92" s="23"/>
      <c r="H92" s="12"/>
      <c r="I92" s="12"/>
      <c r="J92" s="12"/>
      <c r="K92" s="12"/>
      <c r="L92" s="12"/>
      <c r="M92" s="12"/>
    </row>
    <row r="93" spans="1:13" x14ac:dyDescent="0.25">
      <c r="A93" s="12"/>
      <c r="B93" s="12"/>
      <c r="C93" s="12"/>
      <c r="D93" s="12"/>
      <c r="E93" s="12"/>
      <c r="F93" s="12"/>
      <c r="G93" s="23"/>
      <c r="H93" s="12"/>
      <c r="I93" s="12"/>
      <c r="J93" s="12"/>
      <c r="K93" s="12"/>
      <c r="L93" s="12"/>
      <c r="M93" s="12"/>
    </row>
    <row r="94" spans="1:13" x14ac:dyDescent="0.25">
      <c r="A94" s="12"/>
      <c r="B94" s="12"/>
      <c r="C94" s="12"/>
      <c r="D94" s="12"/>
      <c r="E94" s="12"/>
      <c r="F94" s="12"/>
      <c r="G94" s="23"/>
      <c r="H94" s="12"/>
      <c r="I94" s="12"/>
      <c r="J94" s="12"/>
      <c r="K94" s="12"/>
      <c r="L94" s="12"/>
      <c r="M94" s="12"/>
    </row>
    <row r="95" spans="1:13" x14ac:dyDescent="0.25">
      <c r="A95" s="12"/>
      <c r="B95" s="12"/>
      <c r="C95" s="12"/>
      <c r="D95" s="12"/>
      <c r="E95" s="12"/>
      <c r="F95" s="12"/>
      <c r="G95" s="23"/>
      <c r="H95" s="12"/>
      <c r="I95" s="12"/>
      <c r="J95" s="12"/>
      <c r="K95" s="12"/>
      <c r="L95" s="12"/>
      <c r="M95" s="12"/>
    </row>
    <row r="96" spans="1:13" x14ac:dyDescent="0.25">
      <c r="A96" s="12"/>
      <c r="B96" s="12"/>
      <c r="C96" s="12"/>
      <c r="D96" s="12"/>
      <c r="E96" s="12"/>
      <c r="F96" s="12"/>
      <c r="G96" s="23"/>
      <c r="H96" s="12"/>
      <c r="I96" s="12"/>
      <c r="J96" s="12"/>
      <c r="K96" s="12"/>
      <c r="L96" s="12"/>
      <c r="M96" s="12"/>
    </row>
    <row r="97" spans="1:13" x14ac:dyDescent="0.25">
      <c r="A97" s="12"/>
      <c r="B97" s="12"/>
      <c r="C97" s="12"/>
      <c r="D97" s="12"/>
      <c r="E97" s="12"/>
      <c r="F97" s="12"/>
      <c r="G97" s="23"/>
      <c r="H97" s="12"/>
      <c r="I97" s="12"/>
      <c r="J97" s="12"/>
      <c r="K97" s="12"/>
      <c r="L97" s="12"/>
      <c r="M97" s="12"/>
    </row>
    <row r="98" spans="1:13" x14ac:dyDescent="0.25">
      <c r="A98" s="12"/>
      <c r="B98" s="12"/>
      <c r="C98" s="12"/>
      <c r="D98" s="12"/>
      <c r="E98" s="12"/>
      <c r="F98" s="12"/>
      <c r="G98" s="23"/>
      <c r="H98" s="12"/>
      <c r="I98" s="12"/>
      <c r="J98" s="12"/>
      <c r="K98" s="12"/>
      <c r="L98" s="12"/>
      <c r="M98" s="12"/>
    </row>
    <row r="99" spans="1:13" x14ac:dyDescent="0.25">
      <c r="A99" s="12"/>
      <c r="B99" s="12"/>
      <c r="C99" s="12"/>
      <c r="D99" s="12"/>
      <c r="E99" s="12"/>
      <c r="F99" s="12"/>
      <c r="G99" s="23"/>
      <c r="H99" s="12"/>
      <c r="I99" s="12"/>
      <c r="J99" s="12"/>
      <c r="K99" s="12"/>
      <c r="L99" s="12"/>
      <c r="M99" s="12"/>
    </row>
    <row r="100" spans="1:13" x14ac:dyDescent="0.25">
      <c r="A100" s="12"/>
      <c r="B100" s="12"/>
      <c r="C100" s="12"/>
      <c r="D100" s="12"/>
      <c r="E100" s="12"/>
      <c r="F100" s="12"/>
      <c r="G100" s="23"/>
      <c r="H100" s="12"/>
      <c r="I100" s="12"/>
      <c r="J100" s="12"/>
      <c r="K100" s="12"/>
      <c r="L100" s="12"/>
      <c r="M100" s="12"/>
    </row>
    <row r="101" spans="1:13" x14ac:dyDescent="0.25">
      <c r="A101" s="12"/>
      <c r="B101" s="12"/>
      <c r="C101" s="12"/>
      <c r="D101" s="12"/>
      <c r="E101" s="12"/>
      <c r="F101" s="12"/>
      <c r="G101" s="23"/>
      <c r="H101" s="12"/>
      <c r="I101" s="12"/>
      <c r="J101" s="12"/>
      <c r="K101" s="12"/>
      <c r="L101" s="12"/>
      <c r="M101" s="12"/>
    </row>
    <row r="102" spans="1:13" x14ac:dyDescent="0.25">
      <c r="A102" s="12"/>
      <c r="B102" s="12"/>
      <c r="C102" s="12"/>
      <c r="D102" s="12"/>
      <c r="E102" s="12"/>
      <c r="F102" s="12"/>
      <c r="G102" s="23"/>
      <c r="H102" s="12"/>
      <c r="I102" s="12"/>
      <c r="J102" s="12"/>
      <c r="K102" s="12"/>
      <c r="L102" s="12"/>
      <c r="M102" s="12"/>
    </row>
    <row r="103" spans="1:13" x14ac:dyDescent="0.25">
      <c r="A103" s="12"/>
      <c r="B103" s="12"/>
      <c r="C103" s="12"/>
      <c r="D103" s="12"/>
      <c r="E103" s="12"/>
      <c r="F103" s="12"/>
      <c r="G103" s="23"/>
      <c r="H103" s="12"/>
      <c r="I103" s="12"/>
      <c r="J103" s="12"/>
      <c r="K103" s="12"/>
      <c r="L103" s="12"/>
      <c r="M103" s="12"/>
    </row>
    <row r="104" spans="1:13" x14ac:dyDescent="0.25">
      <c r="A104" s="12"/>
      <c r="B104" s="12"/>
      <c r="C104" s="12"/>
      <c r="D104" s="12"/>
      <c r="E104" s="12"/>
      <c r="F104" s="12"/>
      <c r="G104" s="23"/>
      <c r="H104" s="12"/>
      <c r="I104" s="12"/>
      <c r="J104" s="12"/>
      <c r="K104" s="12"/>
      <c r="L104" s="12"/>
      <c r="M104" s="12"/>
    </row>
    <row r="105" spans="1:13" x14ac:dyDescent="0.25">
      <c r="A105" s="12"/>
      <c r="B105" s="12"/>
      <c r="C105" s="12"/>
      <c r="D105" s="12"/>
      <c r="E105" s="12"/>
      <c r="F105" s="12"/>
      <c r="G105" s="23"/>
      <c r="H105" s="12"/>
      <c r="I105" s="12"/>
      <c r="J105" s="12"/>
      <c r="K105" s="12"/>
      <c r="L105" s="12"/>
      <c r="M105" s="12"/>
    </row>
    <row r="106" spans="1:13" x14ac:dyDescent="0.25">
      <c r="A106" s="12"/>
      <c r="B106" s="12"/>
      <c r="C106" s="12"/>
      <c r="D106" s="12"/>
      <c r="E106" s="12"/>
      <c r="F106" s="12"/>
      <c r="G106" s="23"/>
      <c r="H106" s="12"/>
      <c r="I106" s="12"/>
      <c r="J106" s="12"/>
      <c r="K106" s="12"/>
      <c r="L106" s="12"/>
      <c r="M106" s="12"/>
    </row>
    <row r="107" spans="1:13" x14ac:dyDescent="0.25">
      <c r="A107" s="12"/>
      <c r="B107" s="12"/>
      <c r="C107" s="12"/>
      <c r="D107" s="12"/>
      <c r="E107" s="12"/>
      <c r="F107" s="12"/>
      <c r="G107" s="23"/>
      <c r="H107" s="12"/>
      <c r="I107" s="12"/>
      <c r="J107" s="12"/>
      <c r="K107" s="12"/>
      <c r="L107" s="12"/>
      <c r="M107" s="12"/>
    </row>
    <row r="108" spans="1:13" x14ac:dyDescent="0.25">
      <c r="A108" s="12"/>
      <c r="B108" s="12"/>
      <c r="C108" s="12"/>
      <c r="D108" s="12"/>
      <c r="E108" s="12"/>
      <c r="F108" s="12"/>
      <c r="G108" s="23"/>
      <c r="H108" s="12"/>
      <c r="I108" s="12"/>
      <c r="J108" s="12"/>
      <c r="K108" s="12"/>
      <c r="L108" s="12"/>
      <c r="M108" s="12"/>
    </row>
    <row r="109" spans="1:13" x14ac:dyDescent="0.25">
      <c r="A109" s="12"/>
      <c r="B109" s="12"/>
      <c r="C109" s="12"/>
      <c r="D109" s="12"/>
      <c r="E109" s="12"/>
      <c r="F109" s="12"/>
      <c r="G109" s="23"/>
      <c r="H109" s="12"/>
      <c r="I109" s="12"/>
      <c r="J109" s="12"/>
      <c r="K109" s="12"/>
      <c r="L109" s="12"/>
      <c r="M109" s="12"/>
    </row>
    <row r="110" spans="1:13" x14ac:dyDescent="0.25">
      <c r="A110" s="12"/>
      <c r="B110" s="12"/>
      <c r="C110" s="12"/>
      <c r="D110" s="12"/>
      <c r="E110" s="12"/>
      <c r="F110" s="12"/>
      <c r="G110" s="23"/>
      <c r="H110" s="12"/>
      <c r="I110" s="12"/>
      <c r="J110" s="12"/>
      <c r="K110" s="12"/>
      <c r="L110" s="12"/>
      <c r="M110" s="12"/>
    </row>
    <row r="111" spans="1:13" x14ac:dyDescent="0.25">
      <c r="A111" s="12"/>
      <c r="B111" s="12"/>
      <c r="C111" s="12"/>
      <c r="D111" s="12"/>
      <c r="E111" s="12"/>
      <c r="F111" s="12"/>
      <c r="G111" s="23"/>
      <c r="H111" s="12"/>
      <c r="I111" s="12"/>
      <c r="J111" s="12"/>
      <c r="K111" s="12"/>
      <c r="L111" s="12"/>
      <c r="M111" s="12"/>
    </row>
    <row r="112" spans="1:13" x14ac:dyDescent="0.25">
      <c r="A112" s="12"/>
      <c r="B112" s="12"/>
      <c r="C112" s="12"/>
      <c r="D112" s="12"/>
      <c r="E112" s="12"/>
      <c r="F112" s="12"/>
      <c r="G112" s="23"/>
      <c r="H112" s="12"/>
      <c r="I112" s="12"/>
      <c r="J112" s="12"/>
      <c r="K112" s="12"/>
      <c r="L112" s="12"/>
      <c r="M112" s="12"/>
    </row>
    <row r="113" spans="1:13" x14ac:dyDescent="0.25">
      <c r="A113" s="12"/>
      <c r="B113" s="12"/>
      <c r="C113" s="12"/>
      <c r="D113" s="12"/>
      <c r="E113" s="12"/>
      <c r="F113" s="12"/>
      <c r="G113" s="23"/>
      <c r="H113" s="12"/>
      <c r="I113" s="12"/>
      <c r="J113" s="12"/>
      <c r="K113" s="12"/>
      <c r="L113" s="12"/>
      <c r="M113" s="12"/>
    </row>
    <row r="114" spans="1:13" x14ac:dyDescent="0.25">
      <c r="A114" s="12"/>
      <c r="B114" s="12"/>
      <c r="C114" s="12"/>
      <c r="D114" s="12"/>
      <c r="E114" s="12"/>
      <c r="F114" s="12"/>
      <c r="G114" s="23"/>
      <c r="H114" s="12"/>
      <c r="I114" s="12"/>
      <c r="J114" s="12"/>
      <c r="K114" s="12"/>
      <c r="L114" s="12"/>
      <c r="M114" s="12"/>
    </row>
    <row r="115" spans="1:13" x14ac:dyDescent="0.25">
      <c r="A115" s="12"/>
      <c r="B115" s="12"/>
      <c r="C115" s="12"/>
      <c r="D115" s="12"/>
      <c r="E115" s="12"/>
      <c r="F115" s="12"/>
      <c r="G115" s="23"/>
      <c r="H115" s="12"/>
      <c r="I115" s="12"/>
      <c r="J115" s="12"/>
      <c r="K115" s="12"/>
      <c r="L115" s="12"/>
      <c r="M115" s="12"/>
    </row>
    <row r="116" spans="1:13" x14ac:dyDescent="0.25">
      <c r="A116" s="12"/>
      <c r="B116" s="12"/>
      <c r="C116" s="12"/>
      <c r="D116" s="12"/>
      <c r="E116" s="12"/>
      <c r="F116" s="12"/>
      <c r="G116" s="23"/>
      <c r="H116" s="12"/>
      <c r="I116" s="12"/>
      <c r="J116" s="12"/>
      <c r="K116" s="12"/>
      <c r="L116" s="12"/>
      <c r="M116" s="12"/>
    </row>
    <row r="117" spans="1:13" x14ac:dyDescent="0.25">
      <c r="A117" s="12"/>
      <c r="B117" s="12"/>
      <c r="C117" s="12"/>
      <c r="D117" s="12"/>
      <c r="E117" s="12"/>
      <c r="F117" s="12"/>
      <c r="G117" s="23"/>
      <c r="H117" s="12"/>
      <c r="I117" s="12"/>
      <c r="J117" s="12"/>
      <c r="K117" s="12"/>
      <c r="L117" s="12"/>
      <c r="M117" s="12"/>
    </row>
    <row r="118" spans="1:13" x14ac:dyDescent="0.25">
      <c r="A118" s="12"/>
      <c r="B118" s="12"/>
      <c r="C118" s="12"/>
      <c r="D118" s="12"/>
      <c r="E118" s="12"/>
      <c r="F118" s="12"/>
      <c r="G118" s="23"/>
      <c r="H118" s="12"/>
      <c r="I118" s="12"/>
      <c r="J118" s="12"/>
      <c r="K118" s="12"/>
      <c r="L118" s="12"/>
      <c r="M118" s="12"/>
    </row>
    <row r="119" spans="1:13" x14ac:dyDescent="0.25">
      <c r="A119" s="12"/>
      <c r="B119" s="12"/>
      <c r="C119" s="12"/>
      <c r="D119" s="12"/>
      <c r="E119" s="12"/>
      <c r="F119" s="12"/>
      <c r="G119" s="23"/>
      <c r="H119" s="12"/>
      <c r="I119" s="12"/>
      <c r="J119" s="12"/>
      <c r="K119" s="12"/>
      <c r="L119" s="12"/>
      <c r="M119" s="12"/>
    </row>
    <row r="120" spans="1:13" x14ac:dyDescent="0.25">
      <c r="A120" s="12"/>
      <c r="B120" s="12"/>
      <c r="C120" s="12"/>
      <c r="D120" s="12"/>
      <c r="E120" s="12"/>
      <c r="F120" s="12"/>
      <c r="G120" s="23"/>
      <c r="H120" s="12"/>
      <c r="I120" s="12"/>
      <c r="J120" s="12"/>
      <c r="K120" s="12"/>
      <c r="L120" s="12"/>
      <c r="M120" s="12"/>
    </row>
    <row r="121" spans="1:13" x14ac:dyDescent="0.25">
      <c r="A121" s="12"/>
      <c r="B121" s="12"/>
      <c r="C121" s="12"/>
      <c r="D121" s="12"/>
      <c r="E121" s="12"/>
      <c r="F121" s="12"/>
      <c r="G121" s="23"/>
      <c r="H121" s="12"/>
      <c r="I121" s="12"/>
      <c r="J121" s="12"/>
      <c r="K121" s="12"/>
      <c r="L121" s="12"/>
      <c r="M121" s="12"/>
    </row>
    <row r="122" spans="1:13" x14ac:dyDescent="0.25">
      <c r="A122" s="12"/>
      <c r="B122" s="12"/>
      <c r="C122" s="12"/>
      <c r="D122" s="12"/>
      <c r="E122" s="12"/>
      <c r="F122" s="12"/>
      <c r="G122" s="23"/>
      <c r="H122" s="12"/>
      <c r="I122" s="12"/>
      <c r="J122" s="12"/>
      <c r="K122" s="12"/>
      <c r="L122" s="12"/>
      <c r="M122" s="12"/>
    </row>
    <row r="123" spans="1:13" x14ac:dyDescent="0.25">
      <c r="A123" s="12"/>
      <c r="B123" s="12"/>
      <c r="C123" s="12"/>
      <c r="D123" s="12"/>
      <c r="E123" s="12"/>
      <c r="F123" s="12"/>
      <c r="G123" s="23"/>
      <c r="H123" s="12"/>
      <c r="I123" s="12"/>
      <c r="J123" s="12"/>
      <c r="K123" s="12"/>
      <c r="L123" s="12"/>
      <c r="M123" s="12"/>
    </row>
    <row r="124" spans="1:13" x14ac:dyDescent="0.25">
      <c r="A124" s="12"/>
      <c r="B124" s="12"/>
      <c r="C124" s="12"/>
      <c r="D124" s="12"/>
      <c r="E124" s="12"/>
      <c r="F124" s="12"/>
      <c r="G124" s="23"/>
      <c r="H124" s="12"/>
      <c r="I124" s="12"/>
      <c r="J124" s="12"/>
      <c r="K124" s="12"/>
      <c r="L124" s="12"/>
      <c r="M124" s="12"/>
    </row>
    <row r="125" spans="1:13" x14ac:dyDescent="0.25">
      <c r="A125" s="12"/>
      <c r="B125" s="12"/>
      <c r="C125" s="12"/>
      <c r="D125" s="12"/>
      <c r="E125" s="12"/>
      <c r="F125" s="12"/>
      <c r="G125" s="23"/>
      <c r="H125" s="12"/>
      <c r="I125" s="12"/>
      <c r="J125" s="12"/>
      <c r="K125" s="12"/>
      <c r="L125" s="12"/>
      <c r="M125" s="12"/>
    </row>
    <row r="126" spans="1:13" x14ac:dyDescent="0.25">
      <c r="A126" s="12"/>
      <c r="B126" s="12"/>
      <c r="C126" s="12"/>
      <c r="D126" s="12"/>
      <c r="E126" s="12"/>
      <c r="F126" s="12"/>
      <c r="G126" s="23"/>
      <c r="H126" s="12"/>
      <c r="I126" s="12"/>
      <c r="J126" s="12"/>
      <c r="K126" s="12"/>
      <c r="L126" s="12"/>
      <c r="M126" s="12"/>
    </row>
    <row r="127" spans="1:13" x14ac:dyDescent="0.25">
      <c r="A127" s="12"/>
      <c r="B127" s="12"/>
      <c r="C127" s="12"/>
      <c r="D127" s="12"/>
      <c r="E127" s="12"/>
      <c r="F127" s="12"/>
      <c r="G127" s="23"/>
      <c r="H127" s="12"/>
      <c r="I127" s="12"/>
      <c r="J127" s="12"/>
      <c r="K127" s="12"/>
      <c r="L127" s="12"/>
      <c r="M127" s="12"/>
    </row>
    <row r="128" spans="1:13" x14ac:dyDescent="0.25">
      <c r="A128" s="12"/>
      <c r="B128" s="12"/>
      <c r="C128" s="12"/>
      <c r="D128" s="12"/>
      <c r="E128" s="12"/>
      <c r="F128" s="12"/>
      <c r="G128" s="23"/>
      <c r="H128" s="12"/>
      <c r="I128" s="12"/>
      <c r="J128" s="12"/>
      <c r="K128" s="12"/>
      <c r="L128" s="12"/>
      <c r="M128" s="12"/>
    </row>
    <row r="129" spans="1:13" x14ac:dyDescent="0.25">
      <c r="A129" s="12"/>
      <c r="B129" s="12"/>
      <c r="C129" s="12"/>
      <c r="D129" s="12"/>
      <c r="E129" s="12"/>
      <c r="F129" s="12"/>
      <c r="G129" s="23"/>
      <c r="H129" s="12"/>
      <c r="I129" s="12"/>
      <c r="J129" s="12"/>
      <c r="K129" s="12"/>
      <c r="L129" s="12"/>
      <c r="M129" s="12"/>
    </row>
    <row r="130" spans="1:13" x14ac:dyDescent="0.25">
      <c r="A130" s="12"/>
      <c r="B130" s="12"/>
      <c r="C130" s="12"/>
      <c r="D130" s="12"/>
      <c r="E130" s="12"/>
      <c r="F130" s="12"/>
      <c r="G130" s="23"/>
      <c r="H130" s="12"/>
      <c r="I130" s="12"/>
      <c r="J130" s="12"/>
      <c r="K130" s="12"/>
      <c r="L130" s="12"/>
      <c r="M130" s="12"/>
    </row>
    <row r="131" spans="1:13" x14ac:dyDescent="0.25">
      <c r="A131" s="12"/>
      <c r="B131" s="12"/>
      <c r="C131" s="12"/>
      <c r="D131" s="12"/>
      <c r="E131" s="12"/>
      <c r="F131" s="12"/>
      <c r="G131" s="23"/>
      <c r="H131" s="12"/>
      <c r="I131" s="12"/>
      <c r="J131" s="12"/>
      <c r="K131" s="12"/>
      <c r="L131" s="12"/>
      <c r="M131" s="12"/>
    </row>
    <row r="132" spans="1:13" x14ac:dyDescent="0.25">
      <c r="A132" s="12"/>
      <c r="B132" s="12"/>
      <c r="C132" s="12"/>
      <c r="D132" s="12"/>
      <c r="E132" s="12"/>
      <c r="F132" s="12"/>
      <c r="G132" s="23"/>
      <c r="H132" s="12"/>
      <c r="I132" s="12"/>
      <c r="J132" s="12"/>
      <c r="K132" s="12"/>
      <c r="L132" s="12"/>
      <c r="M132" s="12"/>
    </row>
    <row r="133" spans="1:13" x14ac:dyDescent="0.25">
      <c r="A133" s="12"/>
      <c r="B133" s="12"/>
      <c r="C133" s="12"/>
      <c r="D133" s="12"/>
      <c r="E133" s="12"/>
      <c r="F133" s="12"/>
      <c r="G133" s="23"/>
      <c r="H133" s="12"/>
      <c r="I133" s="12"/>
      <c r="J133" s="12"/>
      <c r="K133" s="12"/>
      <c r="L133" s="12"/>
      <c r="M133" s="12"/>
    </row>
    <row r="134" spans="1:13" x14ac:dyDescent="0.25">
      <c r="A134" s="12"/>
      <c r="B134" s="12"/>
      <c r="C134" s="12"/>
      <c r="D134" s="12"/>
      <c r="E134" s="12"/>
      <c r="F134" s="12"/>
      <c r="G134" s="23"/>
      <c r="H134" s="12"/>
      <c r="I134" s="12"/>
      <c r="J134" s="12"/>
      <c r="K134" s="12"/>
      <c r="L134" s="12"/>
      <c r="M134" s="12"/>
    </row>
    <row r="135" spans="1:13" x14ac:dyDescent="0.25">
      <c r="A135" s="12"/>
      <c r="B135" s="12"/>
      <c r="C135" s="12"/>
      <c r="D135" s="12"/>
      <c r="E135" s="12"/>
      <c r="F135" s="12"/>
      <c r="G135" s="23"/>
      <c r="H135" s="12"/>
      <c r="I135" s="12"/>
      <c r="J135" s="12"/>
      <c r="K135" s="12"/>
      <c r="L135" s="12"/>
      <c r="M135" s="12"/>
    </row>
    <row r="136" spans="1:13" x14ac:dyDescent="0.25">
      <c r="A136" s="12"/>
      <c r="B136" s="12"/>
      <c r="C136" s="12"/>
      <c r="D136" s="12"/>
      <c r="E136" s="12"/>
      <c r="F136" s="12"/>
      <c r="G136" s="23"/>
      <c r="H136" s="12"/>
      <c r="I136" s="12"/>
      <c r="J136" s="12"/>
      <c r="K136" s="12"/>
      <c r="L136" s="12"/>
      <c r="M136" s="12"/>
    </row>
    <row r="137" spans="1:13" x14ac:dyDescent="0.25">
      <c r="A137" s="12"/>
      <c r="B137" s="12"/>
      <c r="C137" s="12"/>
      <c r="D137" s="12"/>
      <c r="E137" s="12"/>
      <c r="F137" s="12"/>
      <c r="G137" s="23"/>
      <c r="H137" s="12"/>
      <c r="I137" s="12"/>
      <c r="J137" s="12"/>
      <c r="K137" s="12"/>
      <c r="L137" s="12"/>
      <c r="M137" s="12"/>
    </row>
    <row r="138" spans="1:13" x14ac:dyDescent="0.25">
      <c r="A138" s="12"/>
      <c r="B138" s="12"/>
      <c r="C138" s="12"/>
      <c r="D138" s="12"/>
      <c r="E138" s="12"/>
      <c r="F138" s="12"/>
      <c r="G138" s="23"/>
      <c r="H138" s="12"/>
      <c r="I138" s="12"/>
      <c r="J138" s="12"/>
      <c r="K138" s="12"/>
      <c r="L138" s="12"/>
      <c r="M138" s="12"/>
    </row>
    <row r="139" spans="1:13" x14ac:dyDescent="0.25">
      <c r="A139" s="12"/>
      <c r="B139" s="12"/>
      <c r="C139" s="12"/>
      <c r="D139" s="12"/>
      <c r="E139" s="12"/>
      <c r="F139" s="12"/>
      <c r="G139" s="23"/>
      <c r="H139" s="12"/>
      <c r="I139" s="12"/>
      <c r="J139" s="12"/>
      <c r="K139" s="12"/>
      <c r="L139" s="12"/>
      <c r="M139" s="12"/>
    </row>
    <row r="140" spans="1:13" x14ac:dyDescent="0.25">
      <c r="A140" s="12"/>
      <c r="B140" s="12"/>
      <c r="C140" s="12"/>
      <c r="D140" s="12"/>
      <c r="E140" s="12"/>
      <c r="F140" s="12"/>
      <c r="G140" s="23"/>
      <c r="H140" s="12"/>
      <c r="I140" s="12"/>
      <c r="J140" s="12"/>
      <c r="K140" s="12"/>
      <c r="L140" s="12"/>
      <c r="M140" s="12"/>
    </row>
    <row r="141" spans="1:13" x14ac:dyDescent="0.25">
      <c r="A141" s="12"/>
      <c r="B141" s="12"/>
      <c r="C141" s="12"/>
      <c r="D141" s="12"/>
      <c r="E141" s="12"/>
      <c r="F141" s="12"/>
      <c r="G141" s="23"/>
      <c r="H141" s="12"/>
      <c r="I141" s="12"/>
      <c r="J141" s="12"/>
      <c r="K141" s="12"/>
      <c r="L141" s="12"/>
      <c r="M141" s="12"/>
    </row>
    <row r="142" spans="1:13" x14ac:dyDescent="0.25">
      <c r="A142" s="12"/>
      <c r="B142" s="12"/>
      <c r="C142" s="12"/>
      <c r="D142" s="12"/>
      <c r="E142" s="12"/>
      <c r="F142" s="12"/>
      <c r="G142" s="23"/>
      <c r="H142" s="12"/>
      <c r="I142" s="12"/>
      <c r="J142" s="12"/>
      <c r="K142" s="12"/>
      <c r="L142" s="12"/>
      <c r="M142" s="12"/>
    </row>
    <row r="143" spans="1:13" x14ac:dyDescent="0.25">
      <c r="A143" s="12"/>
      <c r="B143" s="12"/>
      <c r="C143" s="12"/>
      <c r="D143" s="12"/>
      <c r="E143" s="12"/>
      <c r="F143" s="12"/>
      <c r="G143" s="23"/>
      <c r="H143" s="12"/>
      <c r="I143" s="12"/>
      <c r="J143" s="12"/>
      <c r="K143" s="12"/>
      <c r="L143" s="12"/>
      <c r="M143" s="12"/>
    </row>
    <row r="144" spans="1:13" x14ac:dyDescent="0.25">
      <c r="A144" s="12"/>
      <c r="B144" s="12"/>
      <c r="C144" s="12"/>
      <c r="D144" s="12"/>
      <c r="E144" s="12"/>
      <c r="F144" s="12"/>
      <c r="G144" s="23"/>
      <c r="H144" s="12"/>
      <c r="I144" s="12"/>
      <c r="J144" s="12"/>
      <c r="K144" s="12"/>
      <c r="L144" s="12"/>
      <c r="M144" s="12"/>
    </row>
    <row r="145" spans="1:13" x14ac:dyDescent="0.25">
      <c r="A145" s="12"/>
      <c r="B145" s="12"/>
      <c r="C145" s="12"/>
      <c r="D145" s="12"/>
      <c r="E145" s="12"/>
      <c r="F145" s="12"/>
      <c r="G145" s="23"/>
      <c r="H145" s="12"/>
      <c r="I145" s="12"/>
      <c r="J145" s="12"/>
      <c r="K145" s="12"/>
      <c r="L145" s="12"/>
      <c r="M145" s="12"/>
    </row>
    <row r="146" spans="1:13" x14ac:dyDescent="0.25">
      <c r="A146" s="12"/>
      <c r="B146" s="12"/>
      <c r="C146" s="12"/>
      <c r="D146" s="12"/>
      <c r="E146" s="12"/>
      <c r="F146" s="12"/>
      <c r="G146" s="23"/>
      <c r="H146" s="12"/>
      <c r="I146" s="12"/>
      <c r="J146" s="12"/>
      <c r="K146" s="12"/>
      <c r="L146" s="12"/>
      <c r="M146" s="12"/>
    </row>
    <row r="147" spans="1:13" x14ac:dyDescent="0.25">
      <c r="A147" s="12"/>
      <c r="B147" s="12"/>
      <c r="C147" s="12"/>
      <c r="D147" s="12"/>
      <c r="E147" s="12"/>
      <c r="F147" s="12"/>
      <c r="G147" s="23"/>
      <c r="H147" s="12"/>
      <c r="I147" s="12"/>
      <c r="J147" s="12"/>
      <c r="K147" s="12"/>
      <c r="L147" s="12"/>
      <c r="M147" s="12"/>
    </row>
    <row r="148" spans="1:13" x14ac:dyDescent="0.25">
      <c r="A148" s="12"/>
      <c r="B148" s="12"/>
      <c r="C148" s="12"/>
      <c r="D148" s="12"/>
      <c r="E148" s="12"/>
      <c r="F148" s="12"/>
      <c r="G148" s="23"/>
      <c r="H148" s="12"/>
      <c r="I148" s="12"/>
      <c r="J148" s="12"/>
      <c r="K148" s="12"/>
      <c r="L148" s="12"/>
      <c r="M148" s="12"/>
    </row>
    <row r="149" spans="1:13" x14ac:dyDescent="0.25">
      <c r="A149" s="12"/>
      <c r="B149" s="12"/>
      <c r="C149" s="12"/>
      <c r="D149" s="12"/>
      <c r="E149" s="12"/>
      <c r="F149" s="12"/>
      <c r="G149" s="23"/>
      <c r="H149" s="12"/>
      <c r="I149" s="12"/>
      <c r="J149" s="12"/>
      <c r="K149" s="12"/>
      <c r="L149" s="12"/>
      <c r="M149" s="12"/>
    </row>
    <row r="150" spans="1:13" x14ac:dyDescent="0.25">
      <c r="A150" s="12"/>
      <c r="B150" s="12"/>
      <c r="C150" s="12"/>
      <c r="D150" s="12"/>
      <c r="E150" s="12"/>
      <c r="F150" s="12"/>
      <c r="G150" s="23"/>
      <c r="H150" s="12"/>
      <c r="I150" s="12"/>
      <c r="J150" s="12"/>
      <c r="K150" s="12"/>
      <c r="L150" s="12"/>
      <c r="M150" s="12"/>
    </row>
    <row r="151" spans="1:13" x14ac:dyDescent="0.25">
      <c r="A151" s="12"/>
      <c r="B151" s="12"/>
      <c r="C151" s="12"/>
      <c r="D151" s="12"/>
      <c r="E151" s="12"/>
      <c r="F151" s="12"/>
      <c r="G151" s="23"/>
      <c r="H151" s="12"/>
      <c r="I151" s="12"/>
      <c r="J151" s="12"/>
      <c r="K151" s="12"/>
      <c r="L151" s="12"/>
      <c r="M151" s="12"/>
    </row>
    <row r="152" spans="1:13" x14ac:dyDescent="0.25">
      <c r="A152" s="12"/>
      <c r="B152" s="12"/>
      <c r="C152" s="12"/>
      <c r="D152" s="12"/>
      <c r="E152" s="12"/>
      <c r="F152" s="12"/>
      <c r="G152" s="23"/>
      <c r="H152" s="12"/>
      <c r="I152" s="12"/>
      <c r="J152" s="12"/>
      <c r="K152" s="12"/>
      <c r="L152" s="12"/>
      <c r="M152" s="12"/>
    </row>
    <row r="153" spans="1:13" x14ac:dyDescent="0.25">
      <c r="A153" s="12"/>
      <c r="B153" s="12"/>
      <c r="C153" s="12"/>
      <c r="D153" s="12"/>
      <c r="E153" s="12"/>
      <c r="F153" s="12"/>
      <c r="G153" s="23"/>
      <c r="H153" s="12"/>
      <c r="I153" s="12"/>
      <c r="J153" s="12"/>
      <c r="K153" s="12"/>
      <c r="L153" s="12"/>
      <c r="M153" s="12"/>
    </row>
    <row r="154" spans="1:13" x14ac:dyDescent="0.25">
      <c r="A154" s="12"/>
      <c r="B154" s="12"/>
      <c r="C154" s="12"/>
      <c r="D154" s="12"/>
      <c r="E154" s="12"/>
      <c r="F154" s="12"/>
      <c r="G154" s="23"/>
      <c r="H154" s="12"/>
      <c r="I154" s="12"/>
      <c r="J154" s="12"/>
      <c r="K154" s="12"/>
      <c r="L154" s="12"/>
      <c r="M154" s="12"/>
    </row>
    <row r="155" spans="1:13" x14ac:dyDescent="0.25">
      <c r="A155" s="12"/>
      <c r="B155" s="12"/>
      <c r="C155" s="12"/>
      <c r="D155" s="12"/>
      <c r="E155" s="12"/>
      <c r="F155" s="12"/>
      <c r="G155" s="23"/>
      <c r="H155" s="12"/>
      <c r="I155" s="12"/>
      <c r="J155" s="12"/>
      <c r="K155" s="12"/>
      <c r="L155" s="12"/>
      <c r="M155" s="12"/>
    </row>
    <row r="156" spans="1:13" x14ac:dyDescent="0.25">
      <c r="A156" s="12"/>
      <c r="B156" s="12"/>
      <c r="C156" s="12"/>
      <c r="D156" s="12"/>
      <c r="E156" s="12"/>
      <c r="F156" s="12"/>
      <c r="G156" s="23"/>
      <c r="H156" s="12"/>
      <c r="I156" s="12"/>
      <c r="J156" s="12"/>
      <c r="K156" s="12"/>
      <c r="L156" s="12"/>
      <c r="M156" s="12"/>
    </row>
    <row r="157" spans="1:13" x14ac:dyDescent="0.25">
      <c r="A157" s="12"/>
      <c r="B157" s="12"/>
      <c r="C157" s="12"/>
      <c r="D157" s="12"/>
      <c r="E157" s="12"/>
      <c r="F157" s="12"/>
      <c r="G157" s="23"/>
      <c r="H157" s="12"/>
      <c r="I157" s="12"/>
      <c r="J157" s="12"/>
      <c r="K157" s="12"/>
      <c r="L157" s="12"/>
      <c r="M157" s="12"/>
    </row>
    <row r="158" spans="1:13" x14ac:dyDescent="0.25">
      <c r="A158" s="12"/>
      <c r="B158" s="12"/>
      <c r="C158" s="12"/>
      <c r="D158" s="12"/>
      <c r="E158" s="12"/>
      <c r="F158" s="12"/>
      <c r="G158" s="23"/>
      <c r="H158" s="12"/>
      <c r="I158" s="12"/>
      <c r="J158" s="12"/>
      <c r="K158" s="12"/>
      <c r="L158" s="12"/>
      <c r="M158" s="12"/>
    </row>
    <row r="159" spans="1:13" x14ac:dyDescent="0.25">
      <c r="A159" s="12"/>
      <c r="B159" s="12"/>
      <c r="C159" s="12"/>
      <c r="D159" s="12"/>
      <c r="E159" s="12"/>
      <c r="F159" s="12"/>
      <c r="G159" s="23"/>
      <c r="H159" s="12"/>
      <c r="I159" s="12"/>
      <c r="J159" s="12"/>
      <c r="K159" s="12"/>
      <c r="L159" s="12"/>
      <c r="M159" s="12"/>
    </row>
    <row r="160" spans="1:13" x14ac:dyDescent="0.25">
      <c r="A160" s="12"/>
      <c r="B160" s="12"/>
      <c r="C160" s="12"/>
      <c r="D160" s="12"/>
      <c r="E160" s="12"/>
      <c r="F160" s="12"/>
      <c r="G160" s="23"/>
      <c r="H160" s="12"/>
      <c r="I160" s="12"/>
      <c r="J160" s="12"/>
      <c r="K160" s="12"/>
      <c r="L160" s="12"/>
      <c r="M160" s="12"/>
    </row>
    <row r="161" spans="1:13" x14ac:dyDescent="0.25">
      <c r="A161" s="12"/>
      <c r="B161" s="12"/>
      <c r="C161" s="12"/>
      <c r="D161" s="12"/>
      <c r="E161" s="12"/>
      <c r="F161" s="12"/>
      <c r="G161" s="23"/>
      <c r="H161" s="12"/>
      <c r="I161" s="12"/>
      <c r="J161" s="12"/>
      <c r="K161" s="12"/>
      <c r="L161" s="12"/>
      <c r="M161" s="12"/>
    </row>
    <row r="162" spans="1:13" x14ac:dyDescent="0.25">
      <c r="A162" s="12"/>
      <c r="B162" s="12"/>
      <c r="C162" s="12"/>
      <c r="D162" s="12"/>
      <c r="E162" s="12"/>
      <c r="F162" s="12"/>
      <c r="G162" s="23"/>
      <c r="H162" s="12"/>
      <c r="I162" s="12"/>
      <c r="J162" s="12"/>
      <c r="K162" s="12"/>
      <c r="L162" s="12"/>
      <c r="M162" s="12"/>
    </row>
    <row r="163" spans="1:13" x14ac:dyDescent="0.25">
      <c r="A163" s="12"/>
      <c r="B163" s="12"/>
      <c r="C163" s="12"/>
      <c r="D163" s="12"/>
      <c r="E163" s="12"/>
      <c r="F163" s="12"/>
      <c r="G163" s="23"/>
      <c r="H163" s="12"/>
      <c r="I163" s="12"/>
      <c r="J163" s="12"/>
      <c r="K163" s="12"/>
      <c r="L163" s="12"/>
      <c r="M163" s="12"/>
    </row>
    <row r="164" spans="1:13" x14ac:dyDescent="0.25">
      <c r="A164" s="12"/>
      <c r="B164" s="12"/>
      <c r="C164" s="12"/>
      <c r="D164" s="12"/>
      <c r="E164" s="12"/>
      <c r="F164" s="12"/>
      <c r="G164" s="23"/>
      <c r="H164" s="12"/>
      <c r="I164" s="12"/>
      <c r="J164" s="12"/>
      <c r="K164" s="12"/>
      <c r="L164" s="12"/>
      <c r="M164" s="12"/>
    </row>
    <row r="165" spans="1:13" x14ac:dyDescent="0.25">
      <c r="A165" s="12"/>
      <c r="B165" s="12"/>
      <c r="C165" s="12"/>
      <c r="D165" s="12"/>
      <c r="E165" s="12"/>
      <c r="F165" s="12"/>
      <c r="G165" s="23"/>
      <c r="H165" s="12"/>
      <c r="I165" s="12"/>
      <c r="J165" s="12"/>
      <c r="K165" s="12"/>
      <c r="L165" s="12"/>
      <c r="M165" s="12"/>
    </row>
    <row r="166" spans="1:13" x14ac:dyDescent="0.25">
      <c r="A166" s="12"/>
      <c r="B166" s="12"/>
      <c r="C166" s="12"/>
      <c r="D166" s="12"/>
      <c r="E166" s="12"/>
      <c r="F166" s="12"/>
      <c r="G166" s="23"/>
      <c r="H166" s="12"/>
      <c r="I166" s="12"/>
      <c r="J166" s="12"/>
      <c r="K166" s="12"/>
      <c r="L166" s="12"/>
      <c r="M166" s="12"/>
    </row>
    <row r="167" spans="1:13" x14ac:dyDescent="0.25">
      <c r="A167" s="12"/>
      <c r="B167" s="12"/>
      <c r="C167" s="12"/>
      <c r="D167" s="12"/>
      <c r="E167" s="12"/>
      <c r="F167" s="12"/>
      <c r="G167" s="23"/>
      <c r="H167" s="12"/>
      <c r="I167" s="12"/>
      <c r="J167" s="12"/>
      <c r="K167" s="12"/>
      <c r="L167" s="12"/>
      <c r="M167" s="12"/>
    </row>
    <row r="168" spans="1:13" x14ac:dyDescent="0.25">
      <c r="A168" s="12"/>
      <c r="B168" s="12"/>
      <c r="C168" s="12"/>
      <c r="D168" s="12"/>
      <c r="E168" s="12"/>
      <c r="F168" s="12"/>
      <c r="G168" s="23"/>
      <c r="H168" s="12"/>
      <c r="I168" s="12"/>
      <c r="J168" s="12"/>
      <c r="K168" s="12"/>
      <c r="L168" s="12"/>
      <c r="M168" s="12"/>
    </row>
    <row r="169" spans="1:13" x14ac:dyDescent="0.25">
      <c r="A169" s="12"/>
      <c r="B169" s="12"/>
      <c r="C169" s="12"/>
      <c r="D169" s="12"/>
      <c r="E169" s="12"/>
      <c r="F169" s="12"/>
      <c r="G169" s="23"/>
      <c r="H169" s="12"/>
      <c r="I169" s="12"/>
      <c r="J169" s="12"/>
      <c r="K169" s="12"/>
      <c r="L169" s="12"/>
      <c r="M169" s="12"/>
    </row>
    <row r="170" spans="1:13" x14ac:dyDescent="0.25">
      <c r="A170" s="12"/>
      <c r="B170" s="12"/>
      <c r="C170" s="12"/>
      <c r="D170" s="12"/>
      <c r="E170" s="12"/>
      <c r="F170" s="12"/>
      <c r="G170" s="23"/>
      <c r="H170" s="12"/>
      <c r="I170" s="12"/>
      <c r="J170" s="12"/>
      <c r="K170" s="12"/>
      <c r="L170" s="12"/>
      <c r="M170" s="12"/>
    </row>
    <row r="171" spans="1:13" x14ac:dyDescent="0.25">
      <c r="A171" s="12"/>
      <c r="B171" s="12"/>
      <c r="C171" s="12"/>
      <c r="D171" s="12"/>
      <c r="E171" s="12"/>
      <c r="F171" s="12"/>
      <c r="G171" s="23"/>
      <c r="H171" s="12"/>
      <c r="I171" s="12"/>
      <c r="J171" s="12"/>
      <c r="K171" s="12"/>
      <c r="L171" s="12"/>
      <c r="M171" s="12"/>
    </row>
    <row r="172" spans="1:13" x14ac:dyDescent="0.25">
      <c r="A172" s="12"/>
      <c r="B172" s="12"/>
      <c r="C172" s="12"/>
      <c r="D172" s="12"/>
      <c r="E172" s="12"/>
      <c r="F172" s="12"/>
      <c r="G172" s="23"/>
      <c r="H172" s="12"/>
      <c r="I172" s="12"/>
      <c r="J172" s="12"/>
      <c r="K172" s="12"/>
      <c r="L172" s="12"/>
      <c r="M172" s="12"/>
    </row>
    <row r="173" spans="1:13" x14ac:dyDescent="0.25">
      <c r="A173" s="12"/>
      <c r="B173" s="12"/>
      <c r="C173" s="12"/>
      <c r="D173" s="12"/>
      <c r="E173" s="12"/>
      <c r="F173" s="12"/>
      <c r="G173" s="23"/>
      <c r="H173" s="12"/>
      <c r="I173" s="12"/>
      <c r="J173" s="12"/>
      <c r="K173" s="12"/>
      <c r="L173" s="12"/>
      <c r="M173" s="12"/>
    </row>
    <row r="174" spans="1:13" x14ac:dyDescent="0.25">
      <c r="A174" s="12"/>
      <c r="B174" s="12"/>
      <c r="C174" s="12"/>
      <c r="D174" s="12"/>
      <c r="E174" s="12"/>
      <c r="F174" s="12"/>
      <c r="G174" s="23"/>
      <c r="H174" s="12"/>
      <c r="I174" s="12"/>
      <c r="J174" s="12"/>
      <c r="K174" s="12"/>
      <c r="L174" s="12"/>
      <c r="M174" s="12"/>
    </row>
    <row r="175" spans="1:13" x14ac:dyDescent="0.25">
      <c r="A175" s="12"/>
      <c r="B175" s="12"/>
      <c r="C175" s="12"/>
      <c r="D175" s="12"/>
      <c r="E175" s="12"/>
      <c r="F175" s="12"/>
      <c r="G175" s="23"/>
      <c r="H175" s="12"/>
      <c r="I175" s="12"/>
      <c r="J175" s="12"/>
      <c r="K175" s="12"/>
      <c r="L175" s="12"/>
      <c r="M175" s="12"/>
    </row>
    <row r="176" spans="1:13" x14ac:dyDescent="0.25">
      <c r="A176" s="12"/>
      <c r="B176" s="12"/>
      <c r="C176" s="12"/>
      <c r="D176" s="12"/>
      <c r="E176" s="12"/>
      <c r="F176" s="12"/>
      <c r="G176" s="23"/>
      <c r="H176" s="12"/>
      <c r="I176" s="12"/>
      <c r="J176" s="12"/>
      <c r="K176" s="12"/>
      <c r="L176" s="12"/>
      <c r="M176" s="12"/>
    </row>
    <row r="177" spans="1:13" x14ac:dyDescent="0.25">
      <c r="A177" s="12"/>
      <c r="B177" s="12"/>
      <c r="C177" s="12"/>
      <c r="D177" s="12"/>
      <c r="E177" s="12"/>
      <c r="F177" s="12"/>
      <c r="G177" s="23"/>
      <c r="H177" s="12"/>
      <c r="I177" s="12"/>
      <c r="J177" s="12"/>
      <c r="K177" s="12"/>
      <c r="L177" s="12"/>
      <c r="M177" s="12"/>
    </row>
    <row r="178" spans="1:13" x14ac:dyDescent="0.25">
      <c r="A178" s="12"/>
      <c r="B178" s="12"/>
      <c r="C178" s="12"/>
      <c r="D178" s="12"/>
      <c r="E178" s="12"/>
      <c r="F178" s="12"/>
      <c r="G178" s="23"/>
      <c r="H178" s="12"/>
      <c r="I178" s="12"/>
      <c r="J178" s="12"/>
      <c r="K178" s="12"/>
      <c r="L178" s="12"/>
      <c r="M178" s="12"/>
    </row>
    <row r="179" spans="1:13" x14ac:dyDescent="0.25">
      <c r="A179" s="12"/>
      <c r="B179" s="12"/>
      <c r="C179" s="12"/>
      <c r="D179" s="12"/>
      <c r="E179" s="12"/>
      <c r="F179" s="12"/>
      <c r="G179" s="23"/>
      <c r="H179" s="12"/>
      <c r="I179" s="12"/>
      <c r="J179" s="12"/>
      <c r="K179" s="12"/>
      <c r="L179" s="12"/>
      <c r="M179" s="12"/>
    </row>
    <row r="180" spans="1:13" x14ac:dyDescent="0.25">
      <c r="A180" s="12"/>
      <c r="B180" s="12"/>
      <c r="C180" s="12"/>
      <c r="D180" s="12"/>
      <c r="E180" s="12"/>
      <c r="F180" s="12"/>
      <c r="G180" s="23"/>
      <c r="H180" s="12"/>
      <c r="I180" s="12"/>
      <c r="J180" s="12"/>
      <c r="K180" s="12"/>
      <c r="L180" s="12"/>
      <c r="M180" s="12"/>
    </row>
    <row r="181" spans="1:13" x14ac:dyDescent="0.25">
      <c r="A181" s="12"/>
      <c r="B181" s="12"/>
      <c r="C181" s="12"/>
      <c r="D181" s="12"/>
      <c r="E181" s="12"/>
      <c r="F181" s="12"/>
      <c r="G181" s="23"/>
      <c r="H181" s="12"/>
      <c r="I181" s="12"/>
      <c r="J181" s="12"/>
      <c r="K181" s="12"/>
      <c r="L181" s="12"/>
      <c r="M181" s="12"/>
    </row>
    <row r="182" spans="1:13" x14ac:dyDescent="0.25">
      <c r="A182" s="12"/>
      <c r="B182" s="12"/>
      <c r="C182" s="12"/>
      <c r="D182" s="12"/>
      <c r="E182" s="12"/>
      <c r="F182" s="12"/>
      <c r="G182" s="23"/>
      <c r="H182" s="12"/>
      <c r="I182" s="12"/>
      <c r="J182" s="12"/>
      <c r="K182" s="12"/>
      <c r="L182" s="12"/>
      <c r="M182" s="12"/>
    </row>
    <row r="183" spans="1:13" x14ac:dyDescent="0.25">
      <c r="A183" s="12"/>
      <c r="B183" s="12"/>
      <c r="C183" s="12"/>
      <c r="D183" s="12"/>
      <c r="E183" s="12"/>
      <c r="F183" s="12"/>
      <c r="G183" s="23"/>
      <c r="H183" s="12"/>
      <c r="I183" s="12"/>
      <c r="J183" s="12"/>
      <c r="K183" s="12"/>
      <c r="L183" s="12"/>
      <c r="M183" s="12"/>
    </row>
    <row r="184" spans="1:13" x14ac:dyDescent="0.25">
      <c r="A184" s="12"/>
      <c r="B184" s="12"/>
      <c r="C184" s="12"/>
      <c r="D184" s="12"/>
      <c r="E184" s="12"/>
      <c r="F184" s="12"/>
      <c r="G184" s="23"/>
      <c r="H184" s="12"/>
      <c r="I184" s="12"/>
      <c r="J184" s="12"/>
      <c r="K184" s="12"/>
      <c r="L184" s="12"/>
      <c r="M184" s="12"/>
    </row>
    <row r="185" spans="1:13" x14ac:dyDescent="0.25">
      <c r="A185" s="12"/>
      <c r="B185" s="12"/>
      <c r="C185" s="12"/>
      <c r="D185" s="12"/>
      <c r="E185" s="12"/>
      <c r="F185" s="12"/>
      <c r="G185" s="23"/>
      <c r="H185" s="12"/>
      <c r="I185" s="12"/>
      <c r="J185" s="12"/>
      <c r="K185" s="12"/>
      <c r="L185" s="12"/>
      <c r="M185" s="12"/>
    </row>
    <row r="186" spans="1:13" x14ac:dyDescent="0.25">
      <c r="A186" s="12"/>
      <c r="B186" s="12"/>
      <c r="C186" s="12"/>
      <c r="D186" s="12"/>
      <c r="E186" s="12"/>
      <c r="F186" s="12"/>
      <c r="G186" s="23"/>
      <c r="H186" s="12"/>
      <c r="I186" s="12"/>
      <c r="J186" s="12"/>
      <c r="K186" s="12"/>
      <c r="L186" s="12"/>
      <c r="M186" s="12"/>
    </row>
    <row r="187" spans="1:13" x14ac:dyDescent="0.25">
      <c r="A187" s="12"/>
      <c r="B187" s="12"/>
      <c r="C187" s="12"/>
      <c r="D187" s="12"/>
      <c r="E187" s="12"/>
      <c r="F187" s="12"/>
      <c r="G187" s="23"/>
      <c r="H187" s="12"/>
      <c r="I187" s="12"/>
      <c r="J187" s="12"/>
      <c r="K187" s="12"/>
      <c r="L187" s="12"/>
      <c r="M187" s="12"/>
    </row>
    <row r="188" spans="1:13" x14ac:dyDescent="0.25">
      <c r="A188" s="12"/>
      <c r="B188" s="12"/>
      <c r="C188" s="12"/>
      <c r="D188" s="12"/>
      <c r="E188" s="12"/>
      <c r="F188" s="12"/>
      <c r="G188" s="23"/>
      <c r="H188" s="12"/>
      <c r="I188" s="12"/>
      <c r="J188" s="12"/>
      <c r="K188" s="12"/>
      <c r="L188" s="12"/>
      <c r="M188" s="12"/>
    </row>
    <row r="189" spans="1:13" x14ac:dyDescent="0.25">
      <c r="A189" s="12"/>
      <c r="B189" s="12"/>
      <c r="C189" s="12"/>
      <c r="D189" s="12"/>
      <c r="E189" s="12"/>
      <c r="F189" s="12"/>
      <c r="G189" s="23"/>
      <c r="H189" s="12"/>
      <c r="I189" s="12"/>
      <c r="J189" s="12"/>
      <c r="K189" s="12"/>
      <c r="L189" s="12"/>
      <c r="M189" s="12"/>
    </row>
    <row r="190" spans="1:13" x14ac:dyDescent="0.25">
      <c r="A190" s="12"/>
      <c r="B190" s="12"/>
      <c r="C190" s="12"/>
      <c r="D190" s="12"/>
      <c r="E190" s="12"/>
      <c r="F190" s="12"/>
      <c r="G190" s="23"/>
      <c r="H190" s="12"/>
      <c r="I190" s="12"/>
      <c r="J190" s="12"/>
      <c r="K190" s="12"/>
      <c r="L190" s="12"/>
      <c r="M190" s="12"/>
    </row>
    <row r="191" spans="1:13" x14ac:dyDescent="0.25">
      <c r="A191" s="12"/>
      <c r="B191" s="12"/>
      <c r="C191" s="12"/>
      <c r="D191" s="12"/>
      <c r="E191" s="12"/>
      <c r="F191" s="12"/>
      <c r="G191" s="23"/>
      <c r="H191" s="12"/>
      <c r="I191" s="12"/>
      <c r="J191" s="12"/>
      <c r="K191" s="12"/>
      <c r="L191" s="12"/>
      <c r="M191" s="12"/>
    </row>
    <row r="192" spans="1:13" x14ac:dyDescent="0.25">
      <c r="A192" s="12"/>
      <c r="B192" s="12"/>
      <c r="C192" s="12"/>
      <c r="D192" s="12"/>
      <c r="E192" s="12"/>
      <c r="F192" s="12"/>
      <c r="G192" s="23"/>
      <c r="H192" s="12"/>
      <c r="I192" s="12"/>
      <c r="J192" s="12"/>
      <c r="K192" s="12"/>
      <c r="L192" s="12"/>
      <c r="M192" s="12"/>
    </row>
    <row r="193" spans="1:13" x14ac:dyDescent="0.25">
      <c r="A193" s="12"/>
      <c r="B193" s="12"/>
      <c r="C193" s="12"/>
      <c r="D193" s="12"/>
      <c r="E193" s="12"/>
      <c r="F193" s="12"/>
      <c r="G193" s="23"/>
      <c r="H193" s="12"/>
      <c r="I193" s="12"/>
      <c r="J193" s="12"/>
      <c r="K193" s="12"/>
      <c r="L193" s="12"/>
      <c r="M193" s="12"/>
    </row>
    <row r="194" spans="1:13" x14ac:dyDescent="0.25">
      <c r="A194" s="12"/>
      <c r="B194" s="12"/>
      <c r="C194" s="12"/>
      <c r="D194" s="12"/>
      <c r="E194" s="12"/>
      <c r="F194" s="12"/>
      <c r="G194" s="23"/>
      <c r="H194" s="12"/>
      <c r="I194" s="12"/>
      <c r="J194" s="12"/>
      <c r="K194" s="12"/>
      <c r="L194" s="12"/>
      <c r="M194" s="12"/>
    </row>
    <row r="195" spans="1:13" x14ac:dyDescent="0.25">
      <c r="A195" s="12"/>
      <c r="B195" s="12"/>
      <c r="C195" s="12"/>
      <c r="D195" s="12"/>
      <c r="E195" s="12"/>
      <c r="F195" s="12"/>
      <c r="G195" s="23"/>
      <c r="H195" s="12"/>
      <c r="I195" s="12"/>
      <c r="J195" s="12"/>
      <c r="K195" s="12"/>
      <c r="L195" s="12"/>
      <c r="M195" s="12"/>
    </row>
    <row r="196" spans="1:13" x14ac:dyDescent="0.25">
      <c r="A196" s="12"/>
      <c r="B196" s="12"/>
      <c r="C196" s="12"/>
      <c r="D196" s="12"/>
      <c r="E196" s="12"/>
      <c r="F196" s="12"/>
      <c r="G196" s="23"/>
      <c r="H196" s="12"/>
      <c r="I196" s="12"/>
      <c r="J196" s="12"/>
      <c r="K196" s="12"/>
      <c r="L196" s="12"/>
      <c r="M196" s="12"/>
    </row>
    <row r="197" spans="1:13" x14ac:dyDescent="0.25">
      <c r="A197" s="12"/>
      <c r="B197" s="12"/>
      <c r="C197" s="12"/>
      <c r="D197" s="12"/>
      <c r="E197" s="12"/>
      <c r="F197" s="12"/>
      <c r="G197" s="23"/>
      <c r="H197" s="12"/>
      <c r="I197" s="12"/>
      <c r="J197" s="12"/>
      <c r="K197" s="12"/>
      <c r="L197" s="12"/>
      <c r="M197" s="12"/>
    </row>
    <row r="198" spans="1:13" x14ac:dyDescent="0.25">
      <c r="A198" s="12"/>
      <c r="B198" s="12"/>
      <c r="C198" s="12"/>
      <c r="D198" s="12"/>
      <c r="E198" s="12"/>
      <c r="F198" s="12"/>
      <c r="G198" s="23"/>
      <c r="H198" s="12"/>
      <c r="I198" s="12"/>
      <c r="J198" s="12"/>
      <c r="K198" s="12"/>
      <c r="L198" s="12"/>
      <c r="M198" s="12"/>
    </row>
    <row r="199" spans="1:13" x14ac:dyDescent="0.25">
      <c r="A199" s="12"/>
      <c r="B199" s="12"/>
      <c r="C199" s="12"/>
      <c r="D199" s="12"/>
      <c r="E199" s="12"/>
      <c r="F199" s="12"/>
      <c r="G199" s="23"/>
      <c r="H199" s="12"/>
      <c r="I199" s="12"/>
      <c r="J199" s="12"/>
      <c r="K199" s="12"/>
      <c r="L199" s="12"/>
      <c r="M199" s="12"/>
    </row>
    <row r="200" spans="1:13" x14ac:dyDescent="0.25">
      <c r="A200" s="12"/>
      <c r="B200" s="12"/>
      <c r="C200" s="12"/>
      <c r="D200" s="12"/>
      <c r="E200" s="12"/>
      <c r="F200" s="12"/>
      <c r="G200" s="23"/>
      <c r="H200" s="12"/>
      <c r="I200" s="12"/>
      <c r="J200" s="12"/>
      <c r="K200" s="12"/>
      <c r="L200" s="12"/>
      <c r="M200" s="12"/>
    </row>
    <row r="201" spans="1:13" x14ac:dyDescent="0.25">
      <c r="A201" s="12"/>
      <c r="B201" s="12"/>
      <c r="C201" s="12"/>
      <c r="D201" s="12"/>
      <c r="E201" s="12"/>
      <c r="F201" s="12"/>
      <c r="G201" s="23"/>
      <c r="H201" s="12"/>
      <c r="I201" s="12"/>
      <c r="J201" s="12"/>
      <c r="K201" s="12"/>
      <c r="L201" s="12"/>
      <c r="M201" s="12"/>
    </row>
    <row r="202" spans="1:13" x14ac:dyDescent="0.25">
      <c r="A202" s="12"/>
      <c r="B202" s="12"/>
      <c r="C202" s="12"/>
      <c r="D202" s="12"/>
      <c r="E202" s="12"/>
      <c r="F202" s="12"/>
      <c r="G202" s="23"/>
      <c r="H202" s="12"/>
      <c r="I202" s="12"/>
      <c r="J202" s="12"/>
      <c r="K202" s="12"/>
      <c r="L202" s="12"/>
      <c r="M202" s="12"/>
    </row>
    <row r="203" spans="1:13" x14ac:dyDescent="0.25">
      <c r="A203" s="12"/>
      <c r="B203" s="12"/>
      <c r="C203" s="12"/>
      <c r="D203" s="12"/>
      <c r="E203" s="12"/>
      <c r="F203" s="12"/>
      <c r="G203" s="23"/>
      <c r="H203" s="12"/>
      <c r="I203" s="12"/>
      <c r="J203" s="12"/>
      <c r="K203" s="12"/>
      <c r="L203" s="12"/>
      <c r="M203" s="12"/>
    </row>
    <row r="204" spans="1:13" x14ac:dyDescent="0.25">
      <c r="A204" s="12"/>
      <c r="B204" s="12"/>
      <c r="C204" s="12"/>
      <c r="D204" s="12"/>
      <c r="E204" s="12"/>
      <c r="F204" s="12"/>
      <c r="G204" s="23"/>
      <c r="H204" s="12"/>
      <c r="I204" s="12"/>
      <c r="J204" s="12"/>
      <c r="K204" s="12"/>
      <c r="L204" s="12"/>
      <c r="M204" s="12"/>
    </row>
    <row r="205" spans="1:13" x14ac:dyDescent="0.25">
      <c r="A205" s="12"/>
      <c r="B205" s="12"/>
      <c r="C205" s="12"/>
      <c r="D205" s="12"/>
      <c r="E205" s="12"/>
      <c r="F205" s="12"/>
      <c r="G205" s="23"/>
      <c r="H205" s="12"/>
      <c r="I205" s="12"/>
      <c r="J205" s="12"/>
      <c r="K205" s="12"/>
      <c r="L205" s="12"/>
      <c r="M205" s="12"/>
    </row>
    <row r="206" spans="1:13" x14ac:dyDescent="0.25">
      <c r="A206" s="12"/>
      <c r="B206" s="12"/>
      <c r="C206" s="12"/>
      <c r="D206" s="12"/>
      <c r="E206" s="12"/>
      <c r="F206" s="12"/>
      <c r="G206" s="23"/>
      <c r="H206" s="12"/>
      <c r="I206" s="12"/>
      <c r="J206" s="12"/>
      <c r="K206" s="12"/>
      <c r="L206" s="12"/>
      <c r="M206" s="12"/>
    </row>
    <row r="207" spans="1:13" x14ac:dyDescent="0.25">
      <c r="A207" s="12"/>
      <c r="B207" s="12"/>
      <c r="C207" s="12"/>
      <c r="D207" s="12"/>
      <c r="E207" s="12"/>
      <c r="F207" s="12"/>
      <c r="G207" s="23"/>
      <c r="H207" s="12"/>
      <c r="I207" s="12"/>
      <c r="J207" s="12"/>
      <c r="K207" s="12"/>
      <c r="L207" s="12"/>
      <c r="M207" s="12"/>
    </row>
    <row r="208" spans="1:13" x14ac:dyDescent="0.25">
      <c r="A208" s="12"/>
      <c r="B208" s="12"/>
      <c r="C208" s="12"/>
      <c r="D208" s="12"/>
      <c r="E208" s="12"/>
      <c r="F208" s="12"/>
      <c r="G208" s="23"/>
      <c r="H208" s="12"/>
      <c r="I208" s="12"/>
      <c r="J208" s="12"/>
      <c r="K208" s="12"/>
      <c r="L208" s="12"/>
      <c r="M208" s="12"/>
    </row>
    <row r="209" spans="1:13" x14ac:dyDescent="0.25">
      <c r="A209" s="12"/>
      <c r="B209" s="12"/>
      <c r="C209" s="12"/>
      <c r="D209" s="12"/>
      <c r="E209" s="12"/>
      <c r="F209" s="12"/>
      <c r="G209" s="23"/>
      <c r="H209" s="12"/>
      <c r="I209" s="12"/>
      <c r="J209" s="12"/>
      <c r="K209" s="12"/>
      <c r="L209" s="12"/>
      <c r="M209" s="12"/>
    </row>
    <row r="210" spans="1:13" x14ac:dyDescent="0.25">
      <c r="A210" s="12"/>
      <c r="B210" s="12"/>
      <c r="C210" s="12"/>
      <c r="D210" s="12"/>
      <c r="E210" s="12"/>
      <c r="F210" s="12"/>
      <c r="G210" s="23"/>
      <c r="H210" s="12"/>
      <c r="I210" s="12"/>
      <c r="J210" s="12"/>
      <c r="K210" s="12"/>
      <c r="L210" s="12"/>
      <c r="M210" s="12"/>
    </row>
    <row r="211" spans="1:13" x14ac:dyDescent="0.25">
      <c r="A211" s="12"/>
      <c r="B211" s="12"/>
      <c r="C211" s="12"/>
      <c r="D211" s="12"/>
      <c r="E211" s="12"/>
      <c r="F211" s="12"/>
      <c r="G211" s="23"/>
      <c r="H211" s="12"/>
      <c r="I211" s="12"/>
      <c r="J211" s="12"/>
      <c r="K211" s="12"/>
      <c r="L211" s="12"/>
      <c r="M211" s="12"/>
    </row>
    <row r="212" spans="1:13" x14ac:dyDescent="0.25">
      <c r="A212" s="12"/>
      <c r="B212" s="12"/>
      <c r="C212" s="12"/>
      <c r="D212" s="12"/>
      <c r="E212" s="12"/>
      <c r="F212" s="12"/>
      <c r="G212" s="23"/>
      <c r="H212" s="12"/>
      <c r="I212" s="12"/>
      <c r="J212" s="12"/>
      <c r="K212" s="12"/>
      <c r="L212" s="12"/>
      <c r="M212" s="12"/>
    </row>
    <row r="213" spans="1:13" x14ac:dyDescent="0.25">
      <c r="A213" s="12"/>
      <c r="B213" s="12"/>
      <c r="C213" s="12"/>
      <c r="D213" s="12"/>
      <c r="E213" s="12"/>
      <c r="F213" s="12"/>
      <c r="G213" s="23"/>
      <c r="H213" s="12"/>
      <c r="I213" s="12"/>
      <c r="J213" s="12"/>
      <c r="K213" s="12"/>
      <c r="L213" s="12"/>
      <c r="M213" s="12"/>
    </row>
    <row r="214" spans="1:13" x14ac:dyDescent="0.25">
      <c r="A214" s="12"/>
      <c r="B214" s="12"/>
      <c r="C214" s="12"/>
      <c r="D214" s="12"/>
      <c r="E214" s="12"/>
      <c r="F214" s="12"/>
      <c r="G214" s="23"/>
      <c r="H214" s="12"/>
      <c r="I214" s="12"/>
      <c r="J214" s="12"/>
      <c r="K214" s="12"/>
      <c r="L214" s="12"/>
      <c r="M214" s="12"/>
    </row>
    <row r="215" spans="1:13" x14ac:dyDescent="0.25">
      <c r="A215" s="12"/>
      <c r="B215" s="12"/>
      <c r="C215" s="12"/>
      <c r="D215" s="12"/>
      <c r="E215" s="12"/>
      <c r="F215" s="12"/>
      <c r="G215" s="23"/>
      <c r="H215" s="12"/>
      <c r="I215" s="12"/>
      <c r="J215" s="12"/>
      <c r="K215" s="12"/>
      <c r="L215" s="12"/>
      <c r="M215" s="12"/>
    </row>
    <row r="216" spans="1:13" x14ac:dyDescent="0.25">
      <c r="A216" s="12"/>
      <c r="B216" s="12"/>
      <c r="C216" s="12"/>
      <c r="D216" s="12"/>
      <c r="E216" s="12"/>
      <c r="F216" s="12"/>
      <c r="G216" s="23"/>
      <c r="H216" s="12"/>
      <c r="I216" s="12"/>
      <c r="J216" s="12"/>
      <c r="K216" s="12"/>
      <c r="L216" s="12"/>
      <c r="M216" s="12"/>
    </row>
    <row r="217" spans="1:13" x14ac:dyDescent="0.25">
      <c r="A217" s="12"/>
      <c r="B217" s="12"/>
      <c r="C217" s="12"/>
      <c r="D217" s="12"/>
      <c r="E217" s="12"/>
      <c r="F217" s="12"/>
      <c r="G217" s="23"/>
      <c r="H217" s="12"/>
      <c r="I217" s="12"/>
      <c r="J217" s="12"/>
      <c r="K217" s="12"/>
      <c r="L217" s="12"/>
      <c r="M217" s="12"/>
    </row>
    <row r="218" spans="1:13" x14ac:dyDescent="0.25">
      <c r="A218" s="12"/>
      <c r="B218" s="12"/>
      <c r="C218" s="12"/>
      <c r="D218" s="12"/>
      <c r="E218" s="12"/>
      <c r="F218" s="12"/>
      <c r="G218" s="23"/>
      <c r="H218" s="12"/>
      <c r="I218" s="12"/>
      <c r="J218" s="12"/>
      <c r="K218" s="12"/>
      <c r="L218" s="12"/>
      <c r="M218" s="12"/>
    </row>
    <row r="219" spans="1:13" x14ac:dyDescent="0.25">
      <c r="A219" s="12"/>
      <c r="B219" s="12"/>
      <c r="C219" s="12"/>
      <c r="D219" s="12"/>
      <c r="E219" s="12"/>
      <c r="F219" s="12"/>
      <c r="G219" s="23"/>
      <c r="H219" s="12"/>
      <c r="I219" s="12"/>
      <c r="J219" s="12"/>
      <c r="K219" s="12"/>
      <c r="L219" s="12"/>
      <c r="M219" s="12"/>
    </row>
    <row r="220" spans="1:13" x14ac:dyDescent="0.25">
      <c r="A220" s="12"/>
      <c r="B220" s="12"/>
      <c r="C220" s="12"/>
      <c r="D220" s="12"/>
      <c r="E220" s="12"/>
      <c r="F220" s="12"/>
      <c r="G220" s="23"/>
      <c r="H220" s="12"/>
      <c r="I220" s="12"/>
      <c r="J220" s="12"/>
      <c r="K220" s="12"/>
      <c r="L220" s="12"/>
      <c r="M220" s="12"/>
    </row>
    <row r="221" spans="1:13" x14ac:dyDescent="0.25">
      <c r="A221" s="12"/>
      <c r="B221" s="12"/>
      <c r="C221" s="12"/>
      <c r="D221" s="12"/>
      <c r="E221" s="12"/>
      <c r="F221" s="12"/>
      <c r="G221" s="23"/>
      <c r="H221" s="12"/>
      <c r="I221" s="12"/>
      <c r="J221" s="12"/>
      <c r="K221" s="12"/>
      <c r="L221" s="12"/>
      <c r="M221" s="12"/>
    </row>
    <row r="222" spans="1:13" x14ac:dyDescent="0.25">
      <c r="A222" s="12"/>
      <c r="B222" s="12"/>
      <c r="C222" s="12"/>
      <c r="D222" s="12"/>
      <c r="E222" s="12"/>
      <c r="F222" s="12"/>
      <c r="G222" s="23"/>
      <c r="H222" s="12"/>
      <c r="I222" s="12"/>
      <c r="J222" s="12"/>
      <c r="K222" s="12"/>
      <c r="L222" s="12"/>
      <c r="M222" s="12"/>
    </row>
    <row r="223" spans="1:13" x14ac:dyDescent="0.25">
      <c r="A223" s="12"/>
      <c r="B223" s="12"/>
      <c r="C223" s="12"/>
      <c r="D223" s="12"/>
      <c r="E223" s="12"/>
      <c r="F223" s="12"/>
      <c r="G223" s="23"/>
      <c r="H223" s="12"/>
      <c r="I223" s="12"/>
      <c r="J223" s="12"/>
      <c r="K223" s="12"/>
      <c r="L223" s="12"/>
      <c r="M223" s="12"/>
    </row>
  </sheetData>
  <mergeCells count="2">
    <mergeCell ref="C1:E1"/>
    <mergeCell ref="H2:L2"/>
  </mergeCells>
  <pageMargins left="0.7" right="0.7" top="0.75" bottom="0.75" header="0.3" footer="0.3"/>
  <pageSetup scale="7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75"/>
  <sheetViews>
    <sheetView zoomScale="75" zoomScaleNormal="75" workbookViewId="0">
      <pane xSplit="12" ySplit="4" topLeftCell="M20" activePane="bottomRight" state="frozen"/>
      <selection pane="topRight" activeCell="M1" sqref="M1"/>
      <selection pane="bottomLeft" activeCell="A5" sqref="A5"/>
      <selection pane="bottomRight" activeCell="G25" sqref="G25"/>
    </sheetView>
  </sheetViews>
  <sheetFormatPr defaultRowHeight="15" x14ac:dyDescent="0.25"/>
  <cols>
    <col min="1" max="1" width="24.42578125" style="244" customWidth="1"/>
    <col min="2" max="2" width="18.140625" style="47" customWidth="1"/>
    <col min="3" max="3" width="31.42578125" bestFit="1" customWidth="1"/>
    <col min="4" max="4" width="24" customWidth="1"/>
    <col min="5" max="5" width="19.42578125" style="165" customWidth="1"/>
    <col min="6" max="6" width="17.5703125" style="165" customWidth="1"/>
    <col min="7" max="7" width="22.5703125" style="114" customWidth="1"/>
    <col min="8" max="8" width="25.42578125" style="165" customWidth="1"/>
    <col min="9" max="9" width="13.42578125" customWidth="1"/>
    <col min="10" max="10" width="13.28515625" customWidth="1"/>
    <col min="11" max="11" width="13.140625" customWidth="1"/>
    <col min="12" max="12" width="14.85546875" style="244" customWidth="1"/>
  </cols>
  <sheetData>
    <row r="1" spans="1:12" s="124" customFormat="1" ht="20.25" x14ac:dyDescent="0.25">
      <c r="A1" s="326" t="s">
        <v>8</v>
      </c>
      <c r="B1" s="326"/>
      <c r="C1" s="326"/>
      <c r="D1" s="326"/>
      <c r="E1" s="326"/>
      <c r="F1" s="326"/>
      <c r="G1" s="326"/>
      <c r="H1" s="326"/>
      <c r="I1" s="326"/>
      <c r="J1" s="326"/>
      <c r="K1" s="326"/>
      <c r="L1" s="326"/>
    </row>
    <row r="2" spans="1:12" s="124" customFormat="1" ht="20.25" x14ac:dyDescent="0.25">
      <c r="A2" s="273"/>
      <c r="B2" s="1"/>
      <c r="C2" s="274"/>
      <c r="D2" s="274"/>
      <c r="E2" s="274"/>
      <c r="F2" s="274"/>
      <c r="G2" s="326" t="s">
        <v>35</v>
      </c>
      <c r="H2" s="326"/>
      <c r="I2" s="326"/>
      <c r="J2" s="326"/>
      <c r="K2" s="326"/>
      <c r="L2" s="7"/>
    </row>
    <row r="3" spans="1:12" s="124" customFormat="1" ht="40.5" x14ac:dyDescent="0.25">
      <c r="A3" s="275" t="s">
        <v>36</v>
      </c>
      <c r="B3" s="224" t="s">
        <v>37</v>
      </c>
      <c r="C3" s="224" t="s">
        <v>38</v>
      </c>
      <c r="D3" s="224" t="s">
        <v>39</v>
      </c>
      <c r="E3" s="224" t="s">
        <v>48</v>
      </c>
      <c r="F3" s="224" t="s">
        <v>49</v>
      </c>
      <c r="G3" s="224" t="s">
        <v>115</v>
      </c>
      <c r="H3" s="224" t="s">
        <v>50</v>
      </c>
      <c r="I3" s="224" t="s">
        <v>45</v>
      </c>
      <c r="J3" s="224" t="s">
        <v>46</v>
      </c>
      <c r="K3" s="224" t="s">
        <v>47</v>
      </c>
      <c r="L3" s="8" t="s">
        <v>23</v>
      </c>
    </row>
    <row r="4" spans="1:12" s="124" customFormat="1" ht="20.25" x14ac:dyDescent="0.25">
      <c r="A4" s="276"/>
      <c r="B4" s="277"/>
      <c r="C4" s="277"/>
      <c r="D4" s="277">
        <f>SUM(D5:D97)</f>
        <v>9149</v>
      </c>
      <c r="E4" s="277">
        <f>SUM(E6:E20)</f>
        <v>1000</v>
      </c>
      <c r="F4" s="277">
        <f>SUM(F5:F97)</f>
        <v>11530</v>
      </c>
      <c r="G4" s="277"/>
      <c r="H4" s="277">
        <f>SUM(H5:H97)</f>
        <v>850</v>
      </c>
      <c r="I4" s="277">
        <f>SUM(I6:I11)</f>
        <v>0</v>
      </c>
      <c r="J4" s="277">
        <f>SUM(J6:J110)</f>
        <v>150</v>
      </c>
      <c r="K4" s="277">
        <f>SUM(K6:K11)</f>
        <v>0</v>
      </c>
      <c r="L4" s="278">
        <f>SUM(E4,F4,H4,I4,J4,)</f>
        <v>13530</v>
      </c>
    </row>
    <row r="5" spans="1:12" s="285" customFormat="1" ht="34.5" customHeight="1" x14ac:dyDescent="0.35">
      <c r="A5" s="279">
        <v>45934</v>
      </c>
      <c r="B5" s="303" t="s">
        <v>165</v>
      </c>
      <c r="C5" s="304" t="s">
        <v>166</v>
      </c>
      <c r="D5" s="304">
        <v>156</v>
      </c>
      <c r="E5" s="283"/>
      <c r="F5" s="328">
        <v>330</v>
      </c>
      <c r="G5" s="327" t="s">
        <v>168</v>
      </c>
      <c r="H5" s="328">
        <v>40</v>
      </c>
      <c r="I5" s="283"/>
      <c r="J5" s="283"/>
      <c r="K5" s="283"/>
      <c r="L5" s="280">
        <f>SUM(F5:H5)</f>
        <v>370</v>
      </c>
    </row>
    <row r="6" spans="1:12" s="286" customFormat="1" ht="37.5" customHeight="1" x14ac:dyDescent="0.35">
      <c r="A6" s="279">
        <v>45934</v>
      </c>
      <c r="B6" s="303" t="s">
        <v>167</v>
      </c>
      <c r="C6" s="304" t="s">
        <v>166</v>
      </c>
      <c r="D6" s="303">
        <v>108</v>
      </c>
      <c r="E6" s="280"/>
      <c r="F6" s="328"/>
      <c r="G6" s="327"/>
      <c r="H6" s="328"/>
      <c r="I6" s="7"/>
      <c r="J6" s="7"/>
      <c r="K6" s="7"/>
      <c r="L6" s="280">
        <f t="shared" ref="L6:L23" si="0">SUM(F6:H6)</f>
        <v>0</v>
      </c>
    </row>
    <row r="7" spans="1:12" s="286" customFormat="1" ht="40.5" customHeight="1" x14ac:dyDescent="0.35">
      <c r="A7" s="279">
        <v>45934</v>
      </c>
      <c r="B7" s="303" t="s">
        <v>175</v>
      </c>
      <c r="C7" s="304" t="s">
        <v>176</v>
      </c>
      <c r="D7" s="303">
        <v>448</v>
      </c>
      <c r="E7" s="324">
        <v>1000</v>
      </c>
      <c r="F7" s="283"/>
      <c r="G7" s="298"/>
      <c r="H7" s="283"/>
      <c r="I7" s="7"/>
      <c r="J7" s="7"/>
      <c r="K7" s="7"/>
      <c r="L7" s="280">
        <f t="shared" si="0"/>
        <v>0</v>
      </c>
    </row>
    <row r="8" spans="1:12" s="302" customFormat="1" ht="46.5" customHeight="1" x14ac:dyDescent="0.35">
      <c r="A8" s="299">
        <v>45934</v>
      </c>
      <c r="B8" s="305" t="s">
        <v>177</v>
      </c>
      <c r="C8" s="306" t="s">
        <v>176</v>
      </c>
      <c r="D8" s="305">
        <v>4598</v>
      </c>
      <c r="E8" s="324"/>
      <c r="F8" s="300"/>
      <c r="G8" s="300"/>
      <c r="H8" s="301"/>
      <c r="I8" s="301"/>
      <c r="J8" s="301"/>
      <c r="K8" s="301"/>
      <c r="L8" s="300">
        <f t="shared" si="0"/>
        <v>0</v>
      </c>
    </row>
    <row r="9" spans="1:12" s="286" customFormat="1" ht="51.75" customHeight="1" x14ac:dyDescent="0.35">
      <c r="A9" s="279">
        <v>45935</v>
      </c>
      <c r="B9" s="303" t="s">
        <v>178</v>
      </c>
      <c r="C9" s="304" t="s">
        <v>179</v>
      </c>
      <c r="D9" s="304">
        <v>73</v>
      </c>
      <c r="E9" s="280"/>
      <c r="F9" s="324">
        <v>1610</v>
      </c>
      <c r="G9" s="324" t="s">
        <v>184</v>
      </c>
      <c r="H9" s="325">
        <v>530</v>
      </c>
      <c r="I9" s="7"/>
      <c r="J9" s="7"/>
      <c r="K9" s="7"/>
      <c r="L9" s="280">
        <f t="shared" si="0"/>
        <v>2140</v>
      </c>
    </row>
    <row r="10" spans="1:12" s="286" customFormat="1" ht="49.5" customHeight="1" x14ac:dyDescent="0.35">
      <c r="A10" s="279">
        <v>45935</v>
      </c>
      <c r="B10" s="303" t="s">
        <v>180</v>
      </c>
      <c r="C10" s="304" t="s">
        <v>181</v>
      </c>
      <c r="D10" s="303">
        <v>160</v>
      </c>
      <c r="E10" s="280"/>
      <c r="F10" s="324"/>
      <c r="G10" s="324"/>
      <c r="H10" s="325"/>
      <c r="I10" s="7"/>
      <c r="J10" s="7"/>
      <c r="K10" s="7"/>
      <c r="L10" s="280">
        <f t="shared" si="0"/>
        <v>0</v>
      </c>
    </row>
    <row r="11" spans="1:12" s="286" customFormat="1" ht="57.75" customHeight="1" x14ac:dyDescent="0.35">
      <c r="A11" s="279">
        <v>45935</v>
      </c>
      <c r="B11" s="303" t="s">
        <v>182</v>
      </c>
      <c r="C11" s="304" t="s">
        <v>183</v>
      </c>
      <c r="D11" s="303">
        <v>30</v>
      </c>
      <c r="E11" s="280"/>
      <c r="F11" s="280"/>
      <c r="G11" s="280" t="s">
        <v>188</v>
      </c>
      <c r="H11" s="7"/>
      <c r="I11" s="7"/>
      <c r="J11" s="7"/>
      <c r="K11" s="7"/>
      <c r="L11" s="280">
        <f t="shared" si="0"/>
        <v>0</v>
      </c>
    </row>
    <row r="12" spans="1:12" s="286" customFormat="1" ht="39.75" customHeight="1" x14ac:dyDescent="0.35">
      <c r="A12" s="279">
        <v>45936</v>
      </c>
      <c r="B12" s="305" t="s">
        <v>189</v>
      </c>
      <c r="C12" s="305" t="s">
        <v>193</v>
      </c>
      <c r="D12" s="305">
        <v>310</v>
      </c>
      <c r="E12" s="324"/>
      <c r="F12" s="324">
        <v>6000</v>
      </c>
      <c r="G12" s="324" t="s">
        <v>168</v>
      </c>
      <c r="H12" s="325"/>
      <c r="I12" s="7"/>
      <c r="J12" s="325">
        <v>150</v>
      </c>
      <c r="K12" s="7"/>
      <c r="L12" s="280">
        <f t="shared" si="0"/>
        <v>6000</v>
      </c>
    </row>
    <row r="13" spans="1:12" s="286" customFormat="1" ht="27.75" customHeight="1" x14ac:dyDescent="0.35">
      <c r="A13" s="279">
        <v>45936</v>
      </c>
      <c r="B13" s="303" t="s">
        <v>190</v>
      </c>
      <c r="C13" s="304" t="s">
        <v>194</v>
      </c>
      <c r="D13" s="303">
        <v>204</v>
      </c>
      <c r="E13" s="324"/>
      <c r="F13" s="324"/>
      <c r="G13" s="324"/>
      <c r="H13" s="325"/>
      <c r="I13" s="7"/>
      <c r="J13" s="325"/>
      <c r="K13" s="7"/>
      <c r="L13" s="280">
        <f t="shared" si="0"/>
        <v>0</v>
      </c>
    </row>
    <row r="14" spans="1:12" s="286" customFormat="1" ht="32.25" customHeight="1" x14ac:dyDescent="0.35">
      <c r="A14" s="279">
        <v>45936</v>
      </c>
      <c r="B14" s="303" t="s">
        <v>191</v>
      </c>
      <c r="C14" s="303" t="s">
        <v>195</v>
      </c>
      <c r="D14" s="303">
        <v>1928</v>
      </c>
      <c r="E14" s="324"/>
      <c r="F14" s="324"/>
      <c r="G14" s="324"/>
      <c r="H14" s="325"/>
      <c r="I14" s="7"/>
      <c r="J14" s="325"/>
      <c r="K14" s="7"/>
      <c r="L14" s="280">
        <f t="shared" si="0"/>
        <v>0</v>
      </c>
    </row>
    <row r="15" spans="1:12" s="286" customFormat="1" ht="36" customHeight="1" x14ac:dyDescent="0.35">
      <c r="A15" s="279">
        <v>45936</v>
      </c>
      <c r="B15" s="305" t="s">
        <v>192</v>
      </c>
      <c r="C15" s="305" t="s">
        <v>166</v>
      </c>
      <c r="D15" s="305">
        <v>96</v>
      </c>
      <c r="E15" s="324"/>
      <c r="F15" s="324"/>
      <c r="G15" s="324"/>
      <c r="H15" s="325"/>
      <c r="I15" s="7"/>
      <c r="J15" s="325"/>
      <c r="K15" s="7"/>
      <c r="L15" s="280">
        <f t="shared" si="0"/>
        <v>0</v>
      </c>
    </row>
    <row r="16" spans="1:12" s="286" customFormat="1" ht="56.25" customHeight="1" x14ac:dyDescent="0.35">
      <c r="A16" s="279">
        <v>45937</v>
      </c>
      <c r="B16" s="303" t="s">
        <v>202</v>
      </c>
      <c r="C16" s="304" t="s">
        <v>205</v>
      </c>
      <c r="D16" s="303">
        <v>27</v>
      </c>
      <c r="E16" s="280"/>
      <c r="F16" s="280">
        <v>70</v>
      </c>
      <c r="G16" s="280" t="s">
        <v>126</v>
      </c>
      <c r="H16" s="7">
        <v>40</v>
      </c>
      <c r="I16" s="7"/>
      <c r="J16" s="7"/>
      <c r="K16" s="7"/>
      <c r="L16" s="280">
        <f t="shared" si="0"/>
        <v>110</v>
      </c>
    </row>
    <row r="17" spans="1:12" s="286" customFormat="1" ht="27.75" customHeight="1" x14ac:dyDescent="0.35">
      <c r="A17" s="279">
        <v>45937</v>
      </c>
      <c r="B17" s="303">
        <v>92910</v>
      </c>
      <c r="C17" s="304" t="s">
        <v>206</v>
      </c>
      <c r="D17" s="304">
        <v>13</v>
      </c>
      <c r="E17" s="280"/>
      <c r="F17" s="280">
        <v>120</v>
      </c>
      <c r="G17" s="280" t="s">
        <v>126</v>
      </c>
      <c r="H17" s="7">
        <v>200</v>
      </c>
      <c r="I17" s="7"/>
      <c r="J17" s="7"/>
      <c r="K17" s="7"/>
      <c r="L17" s="280">
        <f t="shared" si="0"/>
        <v>320</v>
      </c>
    </row>
    <row r="18" spans="1:12" s="286" customFormat="1" ht="40.5" customHeight="1" x14ac:dyDescent="0.35">
      <c r="A18" s="279">
        <v>45938</v>
      </c>
      <c r="B18" s="303" t="s">
        <v>203</v>
      </c>
      <c r="C18" s="304" t="s">
        <v>207</v>
      </c>
      <c r="D18" s="303">
        <v>27</v>
      </c>
      <c r="E18" s="280"/>
      <c r="F18" s="324">
        <v>3000</v>
      </c>
      <c r="G18" s="324" t="s">
        <v>168</v>
      </c>
      <c r="H18" s="325"/>
      <c r="I18" s="7"/>
      <c r="J18" s="7"/>
      <c r="K18" s="7"/>
      <c r="L18" s="280">
        <f t="shared" si="0"/>
        <v>3000</v>
      </c>
    </row>
    <row r="19" spans="1:12" s="286" customFormat="1" ht="42" customHeight="1" x14ac:dyDescent="0.35">
      <c r="A19" s="279">
        <v>45938</v>
      </c>
      <c r="B19" s="303">
        <v>93114</v>
      </c>
      <c r="C19" s="308" t="s">
        <v>176</v>
      </c>
      <c r="D19" s="309">
        <v>56</v>
      </c>
      <c r="E19" s="280"/>
      <c r="F19" s="324"/>
      <c r="G19" s="324"/>
      <c r="H19" s="325"/>
      <c r="I19" s="7"/>
      <c r="J19" s="7"/>
      <c r="K19" s="7"/>
      <c r="L19" s="280">
        <f t="shared" si="0"/>
        <v>0</v>
      </c>
    </row>
    <row r="20" spans="1:12" s="286" customFormat="1" ht="46.5" customHeight="1" x14ac:dyDescent="0.35">
      <c r="A20" s="279">
        <v>45938</v>
      </c>
      <c r="B20" s="303">
        <v>93106</v>
      </c>
      <c r="C20" s="307" t="s">
        <v>176</v>
      </c>
      <c r="D20" s="309">
        <v>210</v>
      </c>
      <c r="E20" s="280"/>
      <c r="F20" s="324"/>
      <c r="G20" s="324"/>
      <c r="H20" s="325"/>
      <c r="I20" s="7"/>
      <c r="J20" s="7"/>
      <c r="K20" s="7"/>
      <c r="L20" s="280">
        <f t="shared" si="0"/>
        <v>0</v>
      </c>
    </row>
    <row r="21" spans="1:12" s="286" customFormat="1" ht="44.25" customHeight="1" x14ac:dyDescent="0.35">
      <c r="A21" s="279">
        <v>45938</v>
      </c>
      <c r="B21" s="305" t="s">
        <v>204</v>
      </c>
      <c r="C21" s="305" t="s">
        <v>176</v>
      </c>
      <c r="D21" s="305">
        <v>300</v>
      </c>
      <c r="E21" s="280"/>
      <c r="F21" s="324"/>
      <c r="G21" s="324"/>
      <c r="H21" s="325"/>
      <c r="I21" s="290"/>
      <c r="J21" s="7"/>
      <c r="K21" s="291"/>
      <c r="L21" s="280">
        <f t="shared" si="0"/>
        <v>0</v>
      </c>
    </row>
    <row r="22" spans="1:12" s="286" customFormat="1" ht="33" customHeight="1" x14ac:dyDescent="0.35">
      <c r="A22" s="279">
        <v>45939</v>
      </c>
      <c r="B22" s="303" t="s">
        <v>215</v>
      </c>
      <c r="C22" s="304" t="s">
        <v>166</v>
      </c>
      <c r="D22" s="289">
        <v>210</v>
      </c>
      <c r="E22" s="280"/>
      <c r="F22" s="324">
        <v>400</v>
      </c>
      <c r="G22" s="324" t="s">
        <v>213</v>
      </c>
      <c r="H22" s="325">
        <v>40</v>
      </c>
      <c r="I22" s="291"/>
      <c r="J22" s="7"/>
      <c r="K22" s="291"/>
      <c r="L22" s="280">
        <f t="shared" si="0"/>
        <v>440</v>
      </c>
    </row>
    <row r="23" spans="1:12" s="286" customFormat="1" ht="33.75" customHeight="1" x14ac:dyDescent="0.35">
      <c r="A23" s="279">
        <v>45939</v>
      </c>
      <c r="B23" s="303" t="s">
        <v>216</v>
      </c>
      <c r="C23" s="304" t="s">
        <v>166</v>
      </c>
      <c r="D23" s="289">
        <v>195</v>
      </c>
      <c r="E23" s="280"/>
      <c r="F23" s="324"/>
      <c r="G23" s="324"/>
      <c r="H23" s="325"/>
      <c r="I23" s="291"/>
      <c r="J23" s="7"/>
      <c r="K23" s="291"/>
      <c r="L23" s="280">
        <f t="shared" si="0"/>
        <v>0</v>
      </c>
    </row>
    <row r="24" spans="1:12" s="286" customFormat="1" ht="51.75" customHeight="1" x14ac:dyDescent="0.35">
      <c r="A24" s="279"/>
      <c r="B24" s="289"/>
      <c r="C24" s="288"/>
      <c r="D24" s="289"/>
      <c r="E24" s="280"/>
      <c r="F24" s="280"/>
      <c r="G24" s="280"/>
      <c r="H24" s="7"/>
      <c r="I24" s="291"/>
      <c r="J24" s="291"/>
      <c r="K24" s="291"/>
      <c r="L24" s="280"/>
    </row>
    <row r="25" spans="1:12" s="286" customFormat="1" ht="53.25" customHeight="1" x14ac:dyDescent="0.35">
      <c r="A25" s="279"/>
      <c r="B25" s="289"/>
      <c r="C25" s="288"/>
      <c r="D25" s="289"/>
      <c r="E25" s="280"/>
      <c r="F25" s="280"/>
      <c r="G25" s="280"/>
      <c r="H25" s="7"/>
      <c r="I25" s="291"/>
      <c r="J25" s="291"/>
      <c r="K25" s="291"/>
      <c r="L25" s="280"/>
    </row>
    <row r="26" spans="1:12" s="286" customFormat="1" ht="55.5" customHeight="1" x14ac:dyDescent="0.3">
      <c r="A26" s="292"/>
      <c r="B26" s="293"/>
      <c r="C26" s="294"/>
      <c r="D26" s="293"/>
      <c r="E26" s="295"/>
      <c r="F26" s="295"/>
      <c r="G26" s="295"/>
      <c r="H26" s="296"/>
      <c r="I26" s="297"/>
      <c r="J26" s="297"/>
      <c r="K26" s="297"/>
      <c r="L26" s="295"/>
    </row>
    <row r="27" spans="1:12" s="286" customFormat="1" ht="51.75" customHeight="1" x14ac:dyDescent="0.3">
      <c r="A27" s="292"/>
      <c r="B27" s="293"/>
      <c r="C27" s="294"/>
      <c r="D27" s="293"/>
      <c r="E27" s="295"/>
      <c r="F27" s="295"/>
      <c r="G27" s="295"/>
      <c r="H27" s="296"/>
      <c r="I27" s="297"/>
      <c r="J27" s="297"/>
      <c r="K27" s="297"/>
      <c r="L27" s="295"/>
    </row>
    <row r="28" spans="1:12" s="286" customFormat="1" ht="33" customHeight="1" x14ac:dyDescent="0.3">
      <c r="A28" s="292"/>
      <c r="B28" s="294"/>
      <c r="C28" s="294"/>
      <c r="D28" s="293"/>
      <c r="E28" s="295"/>
      <c r="F28" s="295"/>
      <c r="G28" s="295"/>
      <c r="H28" s="296"/>
      <c r="I28" s="297"/>
      <c r="J28" s="297"/>
      <c r="K28" s="297"/>
      <c r="L28" s="295"/>
    </row>
    <row r="29" spans="1:12" s="286" customFormat="1" ht="70.5" customHeight="1" x14ac:dyDescent="0.3">
      <c r="A29" s="292"/>
      <c r="B29" s="294"/>
      <c r="C29" s="294"/>
      <c r="D29" s="293"/>
      <c r="E29" s="295"/>
      <c r="F29" s="295"/>
      <c r="G29" s="295"/>
      <c r="H29" s="296"/>
      <c r="I29" s="297"/>
      <c r="J29" s="297"/>
      <c r="K29" s="297"/>
      <c r="L29" s="295"/>
    </row>
    <row r="30" spans="1:12" s="286" customFormat="1" ht="18.75" x14ac:dyDescent="0.25">
      <c r="A30" s="292"/>
      <c r="B30" s="287"/>
      <c r="C30" s="287"/>
      <c r="D30" s="262"/>
      <c r="E30" s="263"/>
      <c r="F30" s="263"/>
      <c r="G30" s="263"/>
      <c r="H30" s="264"/>
      <c r="I30" s="265"/>
      <c r="J30" s="266"/>
      <c r="K30" s="266"/>
      <c r="L30" s="295"/>
    </row>
    <row r="31" spans="1:12" s="286" customFormat="1" ht="18" x14ac:dyDescent="0.25">
      <c r="A31" s="253"/>
      <c r="B31" s="262"/>
      <c r="C31" s="267"/>
      <c r="D31" s="262"/>
      <c r="E31" s="263"/>
      <c r="F31" s="263"/>
      <c r="G31" s="263"/>
      <c r="H31" s="264"/>
      <c r="I31" s="265"/>
      <c r="J31" s="266"/>
      <c r="K31" s="266"/>
      <c r="L31" s="295"/>
    </row>
    <row r="32" spans="1:12" s="286" customFormat="1" ht="18" x14ac:dyDescent="0.25">
      <c r="A32" s="253"/>
      <c r="B32" s="262"/>
      <c r="C32" s="267"/>
      <c r="D32" s="262"/>
      <c r="E32" s="263"/>
      <c r="F32" s="263"/>
      <c r="G32" s="263"/>
      <c r="H32" s="264"/>
      <c r="I32" s="265"/>
      <c r="J32" s="266"/>
      <c r="K32" s="266"/>
      <c r="L32" s="295"/>
    </row>
    <row r="33" spans="1:12" s="286" customFormat="1" ht="18" x14ac:dyDescent="0.25">
      <c r="A33" s="253"/>
      <c r="B33" s="262"/>
      <c r="C33" s="267"/>
      <c r="D33" s="262"/>
      <c r="E33" s="263"/>
      <c r="F33" s="263"/>
      <c r="G33" s="263"/>
      <c r="H33" s="264"/>
      <c r="I33" s="265"/>
      <c r="J33" s="266"/>
      <c r="K33" s="266"/>
      <c r="L33" s="295"/>
    </row>
    <row r="34" spans="1:12" s="286" customFormat="1" ht="18" x14ac:dyDescent="0.25">
      <c r="A34" s="253"/>
      <c r="B34" s="262"/>
      <c r="C34" s="267"/>
      <c r="D34" s="262"/>
      <c r="E34" s="263"/>
      <c r="F34" s="263"/>
      <c r="G34" s="263"/>
      <c r="H34" s="264"/>
      <c r="I34" s="265"/>
      <c r="J34" s="266"/>
      <c r="K34" s="266"/>
      <c r="L34" s="295"/>
    </row>
    <row r="35" spans="1:12" s="286" customFormat="1" ht="18" x14ac:dyDescent="0.25">
      <c r="A35" s="253"/>
      <c r="B35" s="262"/>
      <c r="C35" s="267"/>
      <c r="D35" s="262"/>
      <c r="E35" s="263"/>
      <c r="F35" s="263"/>
      <c r="G35" s="263"/>
      <c r="H35" s="268"/>
      <c r="I35" s="265"/>
      <c r="J35" s="266"/>
      <c r="K35" s="266"/>
      <c r="L35" s="295"/>
    </row>
    <row r="36" spans="1:12" s="286" customFormat="1" ht="18" x14ac:dyDescent="0.25">
      <c r="A36" s="253"/>
      <c r="B36" s="262"/>
      <c r="C36" s="267"/>
      <c r="D36" s="262"/>
      <c r="E36" s="263"/>
      <c r="F36" s="263"/>
      <c r="G36" s="263"/>
      <c r="H36" s="264"/>
      <c r="I36" s="265"/>
      <c r="J36" s="266"/>
      <c r="K36" s="266"/>
      <c r="L36" s="295"/>
    </row>
    <row r="37" spans="1:12" s="286" customFormat="1" ht="18" x14ac:dyDescent="0.25">
      <c r="A37" s="253"/>
      <c r="B37" s="262"/>
      <c r="C37" s="267"/>
      <c r="D37" s="262"/>
      <c r="E37" s="263"/>
      <c r="F37" s="263"/>
      <c r="G37" s="263"/>
      <c r="H37" s="268"/>
      <c r="I37" s="265"/>
      <c r="J37" s="266"/>
      <c r="K37" s="266"/>
      <c r="L37" s="295"/>
    </row>
    <row r="38" spans="1:12" s="286" customFormat="1" ht="18" x14ac:dyDescent="0.25">
      <c r="A38" s="253"/>
      <c r="B38" s="262"/>
      <c r="C38" s="267"/>
      <c r="D38" s="262"/>
      <c r="E38" s="263"/>
      <c r="F38" s="263"/>
      <c r="G38" s="263"/>
      <c r="H38" s="264"/>
      <c r="I38" s="265"/>
      <c r="J38" s="266"/>
      <c r="K38" s="266"/>
      <c r="L38" s="295"/>
    </row>
    <row r="39" spans="1:12" s="286" customFormat="1" ht="18" x14ac:dyDescent="0.25">
      <c r="A39" s="253"/>
      <c r="B39" s="262"/>
      <c r="C39" s="267"/>
      <c r="D39" s="262"/>
      <c r="E39" s="263"/>
      <c r="F39" s="263"/>
      <c r="G39" s="263"/>
      <c r="H39" s="264"/>
      <c r="I39" s="265"/>
      <c r="J39" s="266"/>
      <c r="K39" s="266"/>
      <c r="L39" s="295"/>
    </row>
    <row r="40" spans="1:12" s="286" customFormat="1" ht="18" x14ac:dyDescent="0.25">
      <c r="A40" s="253"/>
      <c r="B40" s="262"/>
      <c r="C40" s="267"/>
      <c r="D40" s="262"/>
      <c r="E40" s="263"/>
      <c r="F40" s="263"/>
      <c r="G40" s="263"/>
      <c r="H40" s="264"/>
      <c r="I40" s="265"/>
      <c r="J40" s="266"/>
      <c r="K40" s="266"/>
      <c r="L40" s="295"/>
    </row>
    <row r="41" spans="1:12" s="286" customFormat="1" ht="18" x14ac:dyDescent="0.25">
      <c r="A41" s="253"/>
      <c r="B41" s="262"/>
      <c r="C41" s="267"/>
      <c r="D41" s="262"/>
      <c r="E41" s="263"/>
      <c r="F41" s="263"/>
      <c r="G41" s="263"/>
      <c r="H41" s="264"/>
      <c r="I41" s="265"/>
      <c r="J41" s="266"/>
      <c r="K41" s="266"/>
      <c r="L41" s="295"/>
    </row>
    <row r="42" spans="1:12" s="286" customFormat="1" ht="18" x14ac:dyDescent="0.25">
      <c r="A42" s="253"/>
      <c r="B42" s="262"/>
      <c r="C42" s="267"/>
      <c r="D42" s="262"/>
      <c r="E42" s="263"/>
      <c r="F42" s="263"/>
      <c r="G42" s="263"/>
      <c r="H42" s="268"/>
      <c r="I42" s="265"/>
      <c r="J42" s="266"/>
      <c r="K42" s="266"/>
      <c r="L42" s="295"/>
    </row>
    <row r="43" spans="1:12" s="286" customFormat="1" ht="18" x14ac:dyDescent="0.25">
      <c r="A43" s="253"/>
      <c r="B43" s="262"/>
      <c r="C43" s="267"/>
      <c r="D43" s="262"/>
      <c r="E43" s="263"/>
      <c r="F43" s="263"/>
      <c r="G43" s="263"/>
      <c r="H43" s="264"/>
      <c r="I43" s="265"/>
      <c r="J43" s="266"/>
      <c r="K43" s="266"/>
      <c r="L43" s="295"/>
    </row>
    <row r="44" spans="1:12" s="286" customFormat="1" ht="18" x14ac:dyDescent="0.25">
      <c r="A44" s="253"/>
      <c r="B44" s="262"/>
      <c r="C44" s="267"/>
      <c r="D44" s="262"/>
      <c r="E44" s="263"/>
      <c r="F44" s="263"/>
      <c r="G44" s="263"/>
      <c r="H44" s="264"/>
      <c r="I44" s="265"/>
      <c r="J44" s="266"/>
      <c r="K44" s="266"/>
      <c r="L44" s="254">
        <f t="shared" ref="L44:L52" si="1">SUM(F44+H44)</f>
        <v>0</v>
      </c>
    </row>
    <row r="45" spans="1:12" s="286" customFormat="1" ht="18" x14ac:dyDescent="0.25">
      <c r="A45" s="253"/>
      <c r="B45" s="262"/>
      <c r="C45" s="267"/>
      <c r="D45" s="262"/>
      <c r="E45" s="263"/>
      <c r="F45" s="263"/>
      <c r="G45" s="263"/>
      <c r="H45" s="264"/>
      <c r="I45" s="265"/>
      <c r="J45" s="266"/>
      <c r="K45" s="266"/>
      <c r="L45" s="254">
        <f t="shared" si="1"/>
        <v>0</v>
      </c>
    </row>
    <row r="46" spans="1:12" s="286" customFormat="1" ht="18" x14ac:dyDescent="0.25">
      <c r="A46" s="253"/>
      <c r="B46" s="262"/>
      <c r="C46" s="267"/>
      <c r="D46" s="262"/>
      <c r="E46" s="263"/>
      <c r="F46" s="263"/>
      <c r="G46" s="263"/>
      <c r="H46" s="264"/>
      <c r="I46" s="265"/>
      <c r="J46" s="266"/>
      <c r="K46" s="266"/>
      <c r="L46" s="254">
        <f t="shared" si="1"/>
        <v>0</v>
      </c>
    </row>
    <row r="47" spans="1:12" s="286" customFormat="1" ht="18" x14ac:dyDescent="0.25">
      <c r="A47" s="253"/>
      <c r="B47" s="262"/>
      <c r="C47" s="267"/>
      <c r="D47" s="262"/>
      <c r="E47" s="263"/>
      <c r="F47" s="263"/>
      <c r="G47" s="263"/>
      <c r="H47" s="268"/>
      <c r="I47" s="269"/>
      <c r="J47" s="268"/>
      <c r="K47" s="268"/>
      <c r="L47" s="254">
        <f t="shared" si="1"/>
        <v>0</v>
      </c>
    </row>
    <row r="48" spans="1:12" s="286" customFormat="1" ht="18" x14ac:dyDescent="0.25">
      <c r="A48" s="253"/>
      <c r="B48" s="262"/>
      <c r="C48" s="267"/>
      <c r="D48" s="262"/>
      <c r="E48" s="263"/>
      <c r="F48" s="263"/>
      <c r="G48" s="263"/>
      <c r="H48" s="268"/>
      <c r="I48" s="269"/>
      <c r="J48" s="268"/>
      <c r="K48" s="268"/>
      <c r="L48" s="254">
        <f t="shared" si="1"/>
        <v>0</v>
      </c>
    </row>
    <row r="49" spans="1:12" s="286" customFormat="1" ht="18" x14ac:dyDescent="0.25">
      <c r="A49" s="253"/>
      <c r="B49" s="262"/>
      <c r="C49" s="267"/>
      <c r="D49" s="262"/>
      <c r="E49" s="263"/>
      <c r="F49" s="263"/>
      <c r="G49" s="263"/>
      <c r="H49" s="268"/>
      <c r="I49" s="269"/>
      <c r="J49" s="268"/>
      <c r="K49" s="268"/>
      <c r="L49" s="254">
        <f t="shared" si="1"/>
        <v>0</v>
      </c>
    </row>
    <row r="50" spans="1:12" s="286" customFormat="1" ht="18" x14ac:dyDescent="0.25">
      <c r="A50" s="253"/>
      <c r="B50" s="262"/>
      <c r="C50" s="267"/>
      <c r="D50" s="262"/>
      <c r="E50" s="263"/>
      <c r="F50" s="263"/>
      <c r="G50" s="263"/>
      <c r="H50" s="268"/>
      <c r="I50" s="269"/>
      <c r="J50" s="268"/>
      <c r="K50" s="268"/>
      <c r="L50" s="254">
        <f t="shared" si="1"/>
        <v>0</v>
      </c>
    </row>
    <row r="51" spans="1:12" ht="18" x14ac:dyDescent="0.25">
      <c r="A51" s="256"/>
      <c r="B51" s="257"/>
      <c r="C51" s="258"/>
      <c r="D51" s="257"/>
      <c r="E51" s="259"/>
      <c r="F51" s="259"/>
      <c r="G51" s="259"/>
      <c r="H51" s="260"/>
      <c r="I51" s="261"/>
      <c r="J51" s="260"/>
      <c r="K51" s="260"/>
      <c r="L51" s="254">
        <f t="shared" si="1"/>
        <v>0</v>
      </c>
    </row>
    <row r="52" spans="1:12" ht="18" x14ac:dyDescent="0.25">
      <c r="A52" s="253"/>
      <c r="B52" s="33"/>
      <c r="C52" s="32"/>
      <c r="D52" s="33"/>
      <c r="E52" s="183"/>
      <c r="F52" s="183"/>
      <c r="G52" s="183"/>
      <c r="H52" s="36"/>
      <c r="I52" s="37"/>
      <c r="J52" s="36"/>
      <c r="K52" s="36"/>
      <c r="L52" s="254">
        <f t="shared" si="1"/>
        <v>0</v>
      </c>
    </row>
    <row r="53" spans="1:12" ht="15.75" x14ac:dyDescent="0.25">
      <c r="A53" s="253"/>
      <c r="B53" s="33"/>
      <c r="C53" s="32"/>
      <c r="D53" s="33"/>
      <c r="E53" s="183"/>
      <c r="F53" s="183"/>
      <c r="G53" s="183"/>
      <c r="H53" s="36"/>
      <c r="I53" s="37"/>
      <c r="J53" s="36"/>
      <c r="K53" s="36"/>
      <c r="L53" s="198"/>
    </row>
    <row r="54" spans="1:12" ht="15.75" x14ac:dyDescent="0.25">
      <c r="A54" s="253"/>
      <c r="B54" s="33"/>
      <c r="C54" s="32"/>
      <c r="D54" s="33"/>
      <c r="E54" s="183"/>
      <c r="F54" s="183"/>
      <c r="G54" s="183"/>
      <c r="H54" s="36"/>
      <c r="I54" s="37"/>
      <c r="J54" s="36"/>
      <c r="K54" s="36"/>
      <c r="L54" s="198"/>
    </row>
    <row r="55" spans="1:12" ht="15.75" x14ac:dyDescent="0.25">
      <c r="A55" s="253"/>
      <c r="B55" s="33"/>
      <c r="C55" s="32"/>
      <c r="D55" s="33"/>
      <c r="E55" s="183"/>
      <c r="F55" s="183"/>
      <c r="G55" s="183"/>
      <c r="H55" s="36"/>
      <c r="I55" s="37"/>
      <c r="J55" s="36"/>
      <c r="K55" s="36"/>
      <c r="L55" s="198"/>
    </row>
    <row r="56" spans="1:12" ht="15.75" x14ac:dyDescent="0.25">
      <c r="A56" s="253"/>
      <c r="B56" s="33"/>
      <c r="C56" s="32"/>
      <c r="D56" s="33"/>
      <c r="E56" s="183"/>
      <c r="F56" s="183"/>
      <c r="G56" s="183"/>
      <c r="H56" s="36"/>
      <c r="I56" s="37"/>
      <c r="J56" s="37"/>
      <c r="K56" s="37"/>
      <c r="L56" s="198"/>
    </row>
    <row r="57" spans="1:12" ht="15.75" x14ac:dyDescent="0.25">
      <c r="A57" s="253"/>
      <c r="B57" s="33"/>
      <c r="C57" s="32"/>
      <c r="D57" s="33"/>
      <c r="E57" s="183"/>
      <c r="F57" s="183"/>
      <c r="G57" s="183"/>
      <c r="H57" s="36"/>
      <c r="I57" s="37"/>
      <c r="J57" s="37"/>
      <c r="K57" s="37"/>
      <c r="L57" s="198"/>
    </row>
    <row r="58" spans="1:12" ht="15.75" x14ac:dyDescent="0.25">
      <c r="A58" s="253"/>
      <c r="B58" s="33"/>
      <c r="C58" s="32"/>
      <c r="D58" s="33"/>
      <c r="E58" s="183"/>
      <c r="F58" s="183"/>
      <c r="G58" s="183"/>
      <c r="H58" s="36"/>
      <c r="I58" s="37"/>
      <c r="J58" s="37"/>
      <c r="K58" s="37"/>
      <c r="L58" s="198"/>
    </row>
    <row r="59" spans="1:12" ht="15.75" x14ac:dyDescent="0.25">
      <c r="A59" s="253"/>
      <c r="B59" s="33"/>
      <c r="C59" s="32"/>
      <c r="D59" s="33"/>
      <c r="E59" s="183"/>
      <c r="F59" s="183"/>
      <c r="G59" s="183"/>
      <c r="H59" s="36"/>
      <c r="I59" s="37"/>
      <c r="J59" s="37"/>
      <c r="K59" s="37"/>
      <c r="L59" s="198"/>
    </row>
    <row r="60" spans="1:12" ht="15.75" x14ac:dyDescent="0.25">
      <c r="A60" s="253"/>
      <c r="B60" s="33"/>
      <c r="C60" s="32"/>
      <c r="D60" s="33"/>
      <c r="E60" s="183"/>
      <c r="F60" s="183"/>
      <c r="G60" s="183"/>
      <c r="H60" s="36"/>
      <c r="I60" s="37"/>
      <c r="J60" s="37"/>
      <c r="K60" s="37"/>
      <c r="L60" s="198"/>
    </row>
    <row r="61" spans="1:12" ht="15.75" x14ac:dyDescent="0.25">
      <c r="A61" s="253"/>
      <c r="B61" s="33"/>
      <c r="C61" s="32"/>
      <c r="D61" s="33"/>
      <c r="E61" s="183"/>
      <c r="F61" s="183"/>
      <c r="G61" s="183"/>
      <c r="H61" s="36"/>
      <c r="I61" s="37"/>
      <c r="J61" s="37"/>
      <c r="K61" s="37"/>
      <c r="L61" s="198"/>
    </row>
    <row r="62" spans="1:12" ht="15.75" x14ac:dyDescent="0.25">
      <c r="A62" s="253"/>
      <c r="B62" s="33"/>
      <c r="C62" s="32"/>
      <c r="D62" s="33"/>
      <c r="E62" s="183"/>
      <c r="F62" s="183"/>
      <c r="G62" s="183"/>
      <c r="H62" s="36"/>
      <c r="I62" s="37"/>
      <c r="J62" s="37"/>
      <c r="K62" s="37"/>
      <c r="L62" s="198"/>
    </row>
    <row r="63" spans="1:12" ht="15.75" x14ac:dyDescent="0.25">
      <c r="A63" s="253"/>
      <c r="B63" s="33"/>
      <c r="C63" s="32"/>
      <c r="D63" s="33"/>
      <c r="E63" s="183"/>
      <c r="F63" s="183"/>
      <c r="G63" s="183"/>
      <c r="H63" s="36"/>
      <c r="I63" s="37"/>
      <c r="J63" s="37"/>
      <c r="K63" s="37"/>
      <c r="L63" s="198"/>
    </row>
    <row r="64" spans="1:12" ht="15.75" x14ac:dyDescent="0.25">
      <c r="A64" s="253"/>
      <c r="B64" s="33"/>
      <c r="C64" s="32"/>
      <c r="D64" s="33"/>
      <c r="E64" s="183"/>
      <c r="F64" s="183"/>
      <c r="G64" s="183"/>
      <c r="H64" s="36"/>
      <c r="I64" s="37"/>
      <c r="J64" s="37"/>
      <c r="K64" s="37"/>
      <c r="L64" s="198"/>
    </row>
    <row r="65" spans="1:12" ht="15.75" x14ac:dyDescent="0.25">
      <c r="A65" s="253"/>
      <c r="B65" s="33"/>
      <c r="C65" s="32"/>
      <c r="D65" s="33"/>
      <c r="E65" s="183"/>
      <c r="F65" s="183"/>
      <c r="G65" s="183"/>
      <c r="H65" s="36"/>
      <c r="I65" s="37"/>
      <c r="J65" s="37"/>
      <c r="K65" s="37"/>
      <c r="L65" s="198"/>
    </row>
    <row r="66" spans="1:12" ht="15.75" x14ac:dyDescent="0.25">
      <c r="A66" s="253"/>
      <c r="B66" s="33"/>
      <c r="C66" s="32"/>
      <c r="D66" s="33"/>
      <c r="E66" s="183"/>
      <c r="F66" s="183"/>
      <c r="G66" s="183"/>
      <c r="H66" s="36"/>
      <c r="I66" s="37"/>
      <c r="J66" s="37"/>
      <c r="K66" s="37"/>
      <c r="L66" s="198"/>
    </row>
    <row r="67" spans="1:12" ht="15.75" x14ac:dyDescent="0.25">
      <c r="A67" s="253"/>
      <c r="B67" s="33"/>
      <c r="C67" s="32"/>
      <c r="D67" s="33"/>
      <c r="E67" s="183"/>
      <c r="F67" s="183"/>
      <c r="G67" s="183"/>
      <c r="H67" s="36"/>
      <c r="I67" s="37"/>
      <c r="J67" s="37"/>
      <c r="K67" s="37"/>
      <c r="L67" s="198"/>
    </row>
    <row r="68" spans="1:12" ht="15.75" x14ac:dyDescent="0.25">
      <c r="A68" s="253"/>
      <c r="B68" s="33"/>
      <c r="C68" s="32"/>
      <c r="D68" s="33"/>
      <c r="E68" s="183"/>
      <c r="F68" s="183"/>
      <c r="G68" s="183"/>
      <c r="H68" s="36"/>
      <c r="I68" s="37"/>
      <c r="J68" s="37"/>
      <c r="K68" s="37"/>
      <c r="L68" s="198"/>
    </row>
    <row r="69" spans="1:12" ht="15.75" x14ac:dyDescent="0.25">
      <c r="A69" s="253"/>
      <c r="B69" s="33"/>
      <c r="C69" s="32"/>
      <c r="D69" s="33"/>
      <c r="E69" s="183"/>
      <c r="F69" s="183"/>
      <c r="G69" s="183"/>
      <c r="H69" s="36"/>
      <c r="I69" s="37"/>
      <c r="J69" s="37"/>
      <c r="K69" s="37"/>
      <c r="L69" s="198"/>
    </row>
    <row r="70" spans="1:12" ht="15.75" x14ac:dyDescent="0.25">
      <c r="A70" s="253"/>
      <c r="B70" s="33"/>
      <c r="C70" s="32"/>
      <c r="D70" s="33"/>
      <c r="E70" s="183"/>
      <c r="F70" s="183"/>
      <c r="G70" s="183"/>
      <c r="H70" s="36"/>
      <c r="I70" s="37"/>
      <c r="J70" s="37"/>
      <c r="K70" s="37"/>
      <c r="L70" s="198"/>
    </row>
    <row r="71" spans="1:12" ht="15.75" x14ac:dyDescent="0.25">
      <c r="A71" s="253"/>
      <c r="B71" s="33"/>
      <c r="C71" s="32"/>
      <c r="D71" s="33"/>
      <c r="E71" s="183"/>
      <c r="F71" s="183"/>
      <c r="G71" s="183"/>
      <c r="H71" s="36"/>
      <c r="I71" s="37"/>
      <c r="J71" s="37"/>
      <c r="K71" s="37"/>
      <c r="L71" s="198"/>
    </row>
    <row r="72" spans="1:12" ht="15.75" x14ac:dyDescent="0.25">
      <c r="A72" s="253"/>
      <c r="B72" s="33"/>
      <c r="C72" s="32"/>
      <c r="D72" s="33"/>
      <c r="E72" s="183"/>
      <c r="F72" s="183"/>
      <c r="G72" s="183"/>
      <c r="H72" s="36"/>
      <c r="I72" s="37"/>
      <c r="J72" s="37"/>
      <c r="K72" s="37"/>
      <c r="L72" s="198"/>
    </row>
    <row r="73" spans="1:12" ht="15.75" x14ac:dyDescent="0.25">
      <c r="A73" s="253"/>
      <c r="B73" s="33"/>
      <c r="C73" s="32"/>
      <c r="D73" s="33"/>
      <c r="E73" s="183"/>
      <c r="F73" s="183"/>
      <c r="G73" s="183"/>
      <c r="H73" s="36"/>
      <c r="I73" s="37"/>
      <c r="J73" s="37"/>
      <c r="K73" s="37"/>
      <c r="L73" s="198"/>
    </row>
    <row r="74" spans="1:12" ht="15.75" x14ac:dyDescent="0.25">
      <c r="A74" s="253"/>
      <c r="B74" s="33"/>
      <c r="C74" s="32"/>
      <c r="D74" s="33"/>
      <c r="E74" s="183"/>
      <c r="F74" s="183"/>
      <c r="G74" s="183"/>
      <c r="H74" s="36"/>
      <c r="I74" s="37"/>
      <c r="J74" s="37"/>
      <c r="K74" s="37"/>
      <c r="L74" s="198"/>
    </row>
    <row r="75" spans="1:12" ht="15.75" x14ac:dyDescent="0.25">
      <c r="A75" s="253"/>
      <c r="B75" s="33"/>
      <c r="C75" s="32"/>
      <c r="D75" s="33"/>
      <c r="E75" s="183"/>
      <c r="F75" s="183"/>
      <c r="G75" s="183"/>
      <c r="H75" s="36"/>
      <c r="I75" s="37"/>
      <c r="J75" s="37"/>
      <c r="K75" s="37"/>
      <c r="L75" s="198"/>
    </row>
  </sheetData>
  <autoFilter ref="A3:L4" xr:uid="{00000000-0009-0000-0000-000002000000}"/>
  <mergeCells count="20">
    <mergeCell ref="F12:F15"/>
    <mergeCell ref="H12:H15"/>
    <mergeCell ref="E12:E15"/>
    <mergeCell ref="J12:J15"/>
    <mergeCell ref="G22:G23"/>
    <mergeCell ref="F22:F23"/>
    <mergeCell ref="H22:H23"/>
    <mergeCell ref="A1:L1"/>
    <mergeCell ref="G2:K2"/>
    <mergeCell ref="G5:G6"/>
    <mergeCell ref="F5:F6"/>
    <mergeCell ref="H5:H6"/>
    <mergeCell ref="G18:G21"/>
    <mergeCell ref="F18:F21"/>
    <mergeCell ref="H18:H21"/>
    <mergeCell ref="E7:E8"/>
    <mergeCell ref="G9:G10"/>
    <mergeCell ref="F9:F10"/>
    <mergeCell ref="H9:H10"/>
    <mergeCell ref="G12:G15"/>
  </mergeCells>
  <dataValidations count="1">
    <dataValidation type="whole" allowBlank="1" showInputMessage="1" showErrorMessage="1" sqref="F30:F64 E9:E12 F24:F26 D30:D64 E6:E7 F16 E16:E64 F18" xr:uid="{00000000-0002-0000-0200-000000000000}">
      <formula1>0</formula1>
      <formula2>1000000</formula2>
    </dataValidation>
  </dataValidations>
  <pageMargins left="0.25" right="0.25" top="0.75" bottom="0.75" header="0.3" footer="0.3"/>
  <pageSetup paperSize="9" scale="41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25"/>
  <sheetViews>
    <sheetView zoomScale="89" zoomScaleNormal="89" workbookViewId="0">
      <selection activeCell="I12" sqref="I12"/>
    </sheetView>
  </sheetViews>
  <sheetFormatPr defaultRowHeight="15" x14ac:dyDescent="0.25"/>
  <cols>
    <col min="2" max="2" width="15.7109375" style="143" customWidth="1"/>
    <col min="3" max="3" width="21.28515625" customWidth="1"/>
    <col min="4" max="4" width="35.140625" customWidth="1"/>
    <col min="5" max="5" width="19.42578125" customWidth="1"/>
    <col min="6" max="6" width="17.85546875" customWidth="1"/>
    <col min="7" max="7" width="23.42578125" bestFit="1" customWidth="1"/>
    <col min="10" max="10" width="9.7109375" style="143" bestFit="1" customWidth="1"/>
    <col min="11" max="11" width="20.28515625" customWidth="1"/>
    <col min="12" max="12" width="27.28515625" bestFit="1" customWidth="1"/>
    <col min="13" max="13" width="16.7109375" customWidth="1"/>
    <col min="14" max="14" width="14.85546875" customWidth="1"/>
    <col min="15" max="15" width="23.42578125" bestFit="1" customWidth="1"/>
  </cols>
  <sheetData>
    <row r="1" spans="1:15" ht="21" x14ac:dyDescent="0.25">
      <c r="A1" s="329" t="s">
        <v>0</v>
      </c>
      <c r="B1" s="329"/>
      <c r="C1" s="329"/>
      <c r="D1" s="329"/>
      <c r="E1" s="329"/>
      <c r="F1" s="329"/>
      <c r="G1" s="329"/>
      <c r="I1" s="329" t="s">
        <v>0</v>
      </c>
      <c r="J1" s="329"/>
      <c r="K1" s="329"/>
      <c r="L1" s="329"/>
      <c r="M1" s="329"/>
      <c r="N1" s="329"/>
      <c r="O1" s="329"/>
    </row>
    <row r="2" spans="1:15" x14ac:dyDescent="0.25">
      <c r="A2" s="330"/>
      <c r="B2" s="330"/>
      <c r="C2" s="330"/>
      <c r="D2" s="330"/>
      <c r="E2" s="330"/>
      <c r="F2" s="330"/>
      <c r="G2" s="330"/>
      <c r="I2" s="330"/>
      <c r="J2" s="330"/>
      <c r="K2" s="330"/>
      <c r="L2" s="330"/>
      <c r="M2" s="330"/>
      <c r="N2" s="330"/>
      <c r="O2" s="330"/>
    </row>
    <row r="3" spans="1:15" ht="18.75" x14ac:dyDescent="0.3">
      <c r="A3" s="331" t="s">
        <v>83</v>
      </c>
      <c r="B3" s="331"/>
      <c r="C3" s="131" t="s">
        <v>217</v>
      </c>
      <c r="D3" s="131"/>
      <c r="E3" s="132"/>
      <c r="F3" s="133" t="s">
        <v>84</v>
      </c>
      <c r="G3" s="132" t="s">
        <v>120</v>
      </c>
      <c r="I3" s="331" t="s">
        <v>83</v>
      </c>
      <c r="J3" s="331"/>
      <c r="K3" s="131" t="s">
        <v>119</v>
      </c>
      <c r="L3" s="131"/>
      <c r="M3" s="132"/>
      <c r="N3" s="133" t="s">
        <v>84</v>
      </c>
      <c r="O3" s="132" t="s">
        <v>117</v>
      </c>
    </row>
    <row r="5" spans="1:15" x14ac:dyDescent="0.25">
      <c r="A5" s="108" t="s">
        <v>77</v>
      </c>
      <c r="B5" s="178" t="s">
        <v>36</v>
      </c>
      <c r="C5" s="108" t="s">
        <v>85</v>
      </c>
      <c r="D5" s="108" t="s">
        <v>86</v>
      </c>
      <c r="E5" s="108" t="s">
        <v>88</v>
      </c>
      <c r="F5" s="108" t="s">
        <v>87</v>
      </c>
      <c r="G5" s="134" t="s">
        <v>56</v>
      </c>
      <c r="I5" s="108" t="s">
        <v>77</v>
      </c>
      <c r="J5" s="178" t="s">
        <v>36</v>
      </c>
      <c r="K5" s="108" t="s">
        <v>85</v>
      </c>
      <c r="L5" s="108" t="s">
        <v>86</v>
      </c>
      <c r="M5" s="108" t="s">
        <v>88</v>
      </c>
      <c r="N5" s="108" t="s">
        <v>87</v>
      </c>
      <c r="O5" s="108" t="s">
        <v>56</v>
      </c>
    </row>
    <row r="6" spans="1:15" ht="30" x14ac:dyDescent="0.25">
      <c r="A6" s="135">
        <v>1</v>
      </c>
      <c r="B6" s="221">
        <v>45934</v>
      </c>
      <c r="C6" s="108" t="s">
        <v>134</v>
      </c>
      <c r="D6" s="145" t="s">
        <v>196</v>
      </c>
      <c r="E6" s="108" t="s">
        <v>135</v>
      </c>
      <c r="F6" s="108" t="s">
        <v>197</v>
      </c>
      <c r="G6" s="108">
        <v>330</v>
      </c>
      <c r="I6" s="135"/>
      <c r="J6" s="178"/>
      <c r="K6" s="108"/>
      <c r="L6" s="145"/>
      <c r="M6" s="108"/>
      <c r="N6" s="108"/>
      <c r="O6" s="108"/>
    </row>
    <row r="7" spans="1:15" ht="30" x14ac:dyDescent="0.25">
      <c r="A7" s="135">
        <f>SUM(A6+1)</f>
        <v>2</v>
      </c>
      <c r="B7" s="221">
        <v>45935</v>
      </c>
      <c r="C7" s="108" t="s">
        <v>134</v>
      </c>
      <c r="D7" s="145" t="s">
        <v>199</v>
      </c>
      <c r="E7" s="108" t="s">
        <v>135</v>
      </c>
      <c r="F7" s="108" t="s">
        <v>198</v>
      </c>
      <c r="G7" s="108">
        <v>1610</v>
      </c>
      <c r="I7" s="135"/>
      <c r="J7" s="178"/>
      <c r="K7" s="108"/>
      <c r="L7" s="108"/>
      <c r="M7" s="108"/>
      <c r="N7" s="108"/>
      <c r="O7" s="108"/>
    </row>
    <row r="8" spans="1:15" ht="75" x14ac:dyDescent="0.25">
      <c r="A8" s="135">
        <f t="shared" ref="A8:A12" si="0">SUM(A7+1)</f>
        <v>3</v>
      </c>
      <c r="B8" s="221">
        <v>45936</v>
      </c>
      <c r="C8" s="108" t="s">
        <v>134</v>
      </c>
      <c r="D8" s="145" t="s">
        <v>200</v>
      </c>
      <c r="E8" s="108" t="s">
        <v>135</v>
      </c>
      <c r="F8" s="108" t="s">
        <v>201</v>
      </c>
      <c r="G8" s="108">
        <v>6000</v>
      </c>
      <c r="I8" s="135"/>
      <c r="J8" s="178"/>
      <c r="K8" s="108"/>
      <c r="L8" s="145"/>
      <c r="M8" s="108"/>
      <c r="N8" s="108"/>
      <c r="O8" s="108"/>
    </row>
    <row r="9" spans="1:15" ht="30" x14ac:dyDescent="0.25">
      <c r="A9" s="135">
        <f t="shared" si="0"/>
        <v>4</v>
      </c>
      <c r="B9" s="221">
        <v>45937</v>
      </c>
      <c r="C9" s="108" t="s">
        <v>134</v>
      </c>
      <c r="D9" s="145" t="s">
        <v>208</v>
      </c>
      <c r="E9" s="108" t="s">
        <v>135</v>
      </c>
      <c r="F9" s="108" t="s">
        <v>210</v>
      </c>
      <c r="G9" s="108">
        <v>70</v>
      </c>
      <c r="I9" s="135"/>
      <c r="J9" s="178"/>
      <c r="K9" s="108"/>
      <c r="L9" s="108"/>
      <c r="M9" s="108"/>
      <c r="N9" s="108"/>
      <c r="O9" s="108"/>
    </row>
    <row r="10" spans="1:15" ht="18.75" x14ac:dyDescent="0.25">
      <c r="A10" s="135">
        <f t="shared" si="0"/>
        <v>5</v>
      </c>
      <c r="B10" s="221">
        <v>45938</v>
      </c>
      <c r="C10" s="108"/>
      <c r="D10" s="145" t="s">
        <v>211</v>
      </c>
      <c r="E10" s="108" t="s">
        <v>135</v>
      </c>
      <c r="F10" s="108" t="s">
        <v>210</v>
      </c>
      <c r="G10" s="108">
        <v>120</v>
      </c>
      <c r="I10" s="135"/>
      <c r="J10" s="178"/>
      <c r="K10" s="108"/>
      <c r="L10" s="108"/>
      <c r="M10" s="108"/>
      <c r="N10" s="108"/>
      <c r="O10" s="108"/>
    </row>
    <row r="11" spans="1:15" ht="45.75" customHeight="1" x14ac:dyDescent="0.25">
      <c r="A11" s="135">
        <f t="shared" si="0"/>
        <v>6</v>
      </c>
      <c r="B11" s="221">
        <v>45938</v>
      </c>
      <c r="C11" s="108" t="s">
        <v>134</v>
      </c>
      <c r="D11" s="145" t="s">
        <v>209</v>
      </c>
      <c r="E11" s="108" t="s">
        <v>135</v>
      </c>
      <c r="F11" s="108" t="s">
        <v>201</v>
      </c>
      <c r="G11" s="108">
        <v>3000</v>
      </c>
      <c r="I11" s="135"/>
      <c r="J11" s="178"/>
      <c r="K11" s="108"/>
      <c r="L11" s="108"/>
      <c r="M11" s="108"/>
      <c r="N11" s="108"/>
      <c r="O11" s="108"/>
    </row>
    <row r="12" spans="1:15" ht="36.75" customHeight="1" x14ac:dyDescent="0.25">
      <c r="A12" s="135">
        <f t="shared" si="0"/>
        <v>7</v>
      </c>
      <c r="B12" s="221">
        <v>45939</v>
      </c>
      <c r="C12" s="108" t="s">
        <v>134</v>
      </c>
      <c r="D12" s="145" t="s">
        <v>196</v>
      </c>
      <c r="E12" s="108" t="s">
        <v>135</v>
      </c>
      <c r="F12" s="108" t="s">
        <v>212</v>
      </c>
      <c r="G12" s="208">
        <v>400</v>
      </c>
      <c r="I12" s="135"/>
      <c r="J12" s="178"/>
      <c r="K12" s="108"/>
      <c r="L12" s="108"/>
      <c r="M12" s="108"/>
      <c r="N12" s="108"/>
      <c r="O12" s="108"/>
    </row>
    <row r="13" spans="1:15" ht="32.1" customHeight="1" x14ac:dyDescent="0.25">
      <c r="C13" s="332"/>
      <c r="D13" s="332"/>
      <c r="E13" s="332"/>
      <c r="G13" s="222"/>
      <c r="J13"/>
    </row>
    <row r="14" spans="1:15" x14ac:dyDescent="0.25">
      <c r="C14" s="332"/>
      <c r="D14" s="332"/>
      <c r="E14" s="332"/>
      <c r="F14" s="108" t="s">
        <v>23</v>
      </c>
      <c r="G14" s="108">
        <f>SUM(G6:G12)</f>
        <v>11530</v>
      </c>
      <c r="J14"/>
    </row>
    <row r="15" spans="1:15" ht="28.5" customHeight="1" x14ac:dyDescent="0.25">
      <c r="B15" s="186"/>
      <c r="C15" s="332"/>
      <c r="D15" s="332"/>
      <c r="E15" s="332"/>
      <c r="F15" s="333"/>
      <c r="G15" s="333"/>
      <c r="J15"/>
    </row>
    <row r="16" spans="1:15" ht="30.75" customHeight="1" x14ac:dyDescent="0.25">
      <c r="F16" s="330"/>
      <c r="G16" s="330"/>
      <c r="J16"/>
    </row>
    <row r="17" spans="1:15" ht="29.25" customHeight="1" x14ac:dyDescent="0.25">
      <c r="A17" s="137"/>
      <c r="B17" s="179"/>
      <c r="C17" s="114"/>
      <c r="D17" s="114"/>
      <c r="E17" s="114"/>
      <c r="F17" s="330"/>
      <c r="G17" s="330"/>
      <c r="J17"/>
    </row>
    <row r="18" spans="1:15" x14ac:dyDescent="0.25">
      <c r="A18" s="137" t="s">
        <v>78</v>
      </c>
      <c r="B18" s="179"/>
      <c r="C18" s="47"/>
      <c r="D18" s="47" t="s">
        <v>79</v>
      </c>
      <c r="E18" s="47"/>
      <c r="F18" s="47" t="s">
        <v>80</v>
      </c>
      <c r="G18" s="47"/>
      <c r="J18"/>
    </row>
    <row r="19" spans="1:15" ht="33.6" customHeight="1" x14ac:dyDescent="0.25">
      <c r="A19" s="138" t="s">
        <v>30</v>
      </c>
      <c r="C19" s="217"/>
      <c r="D19" s="114" t="s">
        <v>81</v>
      </c>
      <c r="F19" s="114" t="s">
        <v>82</v>
      </c>
      <c r="J19"/>
    </row>
    <row r="20" spans="1:15" x14ac:dyDescent="0.25">
      <c r="B20" s="217"/>
      <c r="C20" s="217"/>
      <c r="J20"/>
    </row>
    <row r="21" spans="1:15" x14ac:dyDescent="0.25">
      <c r="I21" s="124"/>
      <c r="J21" s="186"/>
      <c r="K21" s="124"/>
      <c r="L21" s="124"/>
      <c r="M21" s="124"/>
      <c r="N21" s="108"/>
      <c r="O21" s="134"/>
    </row>
    <row r="23" spans="1:15" x14ac:dyDescent="0.25">
      <c r="I23" s="114"/>
      <c r="J23" s="179"/>
      <c r="K23" s="114"/>
      <c r="L23" s="114"/>
      <c r="M23" s="114"/>
      <c r="N23" s="114"/>
      <c r="O23" s="114"/>
    </row>
    <row r="24" spans="1:15" x14ac:dyDescent="0.25">
      <c r="I24" s="137" t="s">
        <v>78</v>
      </c>
      <c r="J24" s="180"/>
      <c r="K24" s="47"/>
      <c r="L24" s="47" t="s">
        <v>79</v>
      </c>
      <c r="M24" s="47"/>
      <c r="N24" s="47" t="s">
        <v>80</v>
      </c>
      <c r="O24" s="47"/>
    </row>
    <row r="25" spans="1:15" x14ac:dyDescent="0.25">
      <c r="I25" s="138" t="s">
        <v>30</v>
      </c>
      <c r="J25" s="179"/>
      <c r="K25" s="114"/>
      <c r="L25" s="114" t="s">
        <v>81</v>
      </c>
      <c r="N25" s="114" t="s">
        <v>82</v>
      </c>
    </row>
  </sheetData>
  <mergeCells count="8">
    <mergeCell ref="I1:O1"/>
    <mergeCell ref="I2:O2"/>
    <mergeCell ref="I3:J3"/>
    <mergeCell ref="C13:E15"/>
    <mergeCell ref="F15:G17"/>
    <mergeCell ref="A1:G1"/>
    <mergeCell ref="A2:G2"/>
    <mergeCell ref="A3:B3"/>
  </mergeCells>
  <pageMargins left="0.25" right="0.25" top="0.75" bottom="0.75" header="0.3" footer="0.3"/>
  <pageSetup paperSize="9" scale="36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O99"/>
  <sheetViews>
    <sheetView tabSelected="1" topLeftCell="A16" workbookViewId="0">
      <selection activeCell="I20" sqref="I20"/>
    </sheetView>
  </sheetViews>
  <sheetFormatPr defaultRowHeight="15" x14ac:dyDescent="0.25"/>
  <cols>
    <col min="2" max="2" width="11.28515625" style="143" customWidth="1"/>
    <col min="3" max="3" width="29.42578125" customWidth="1"/>
    <col min="4" max="4" width="18.42578125" customWidth="1"/>
    <col min="5" max="5" width="15.28515625" bestFit="1" customWidth="1"/>
    <col min="6" max="6" width="13.7109375" customWidth="1"/>
    <col min="7" max="7" width="15.42578125" customWidth="1"/>
    <col min="9" max="9" width="8.28515625" customWidth="1"/>
    <col min="10" max="10" width="11.28515625" style="143" customWidth="1"/>
    <col min="11" max="11" width="25.85546875" customWidth="1"/>
    <col min="12" max="12" width="19.140625" customWidth="1"/>
    <col min="13" max="13" width="13.85546875" customWidth="1"/>
    <col min="14" max="14" width="15" customWidth="1"/>
  </cols>
  <sheetData>
    <row r="1" spans="1:15" x14ac:dyDescent="0.25">
      <c r="A1" s="334" t="s">
        <v>0</v>
      </c>
      <c r="B1" s="335"/>
      <c r="C1" s="335"/>
      <c r="D1" s="335"/>
      <c r="E1" s="335"/>
      <c r="F1" s="335"/>
      <c r="G1" s="336"/>
      <c r="I1" s="334" t="s">
        <v>0</v>
      </c>
      <c r="J1" s="335"/>
      <c r="K1" s="335"/>
      <c r="L1" s="335"/>
      <c r="M1" s="335"/>
      <c r="N1" s="335"/>
      <c r="O1" s="336"/>
    </row>
    <row r="2" spans="1:15" x14ac:dyDescent="0.25">
      <c r="A2" s="337"/>
      <c r="B2" s="330"/>
      <c r="C2" s="330"/>
      <c r="D2" s="330"/>
      <c r="E2" s="330"/>
      <c r="F2" s="330"/>
      <c r="G2" s="338"/>
      <c r="I2" s="337"/>
      <c r="J2" s="330"/>
      <c r="K2" s="330"/>
      <c r="L2" s="330"/>
      <c r="M2" s="330"/>
      <c r="N2" s="330"/>
      <c r="O2" s="338"/>
    </row>
    <row r="3" spans="1:15" x14ac:dyDescent="0.25">
      <c r="A3" s="339" t="s">
        <v>83</v>
      </c>
      <c r="B3" s="340"/>
      <c r="C3" s="123" t="s">
        <v>219</v>
      </c>
      <c r="D3" s="123"/>
      <c r="E3" s="124"/>
      <c r="F3" s="125" t="s">
        <v>84</v>
      </c>
      <c r="G3" s="126" t="s">
        <v>117</v>
      </c>
      <c r="I3" s="339" t="s">
        <v>83</v>
      </c>
      <c r="J3" s="340"/>
      <c r="K3" s="123" t="s">
        <v>124</v>
      </c>
      <c r="L3" s="123"/>
      <c r="M3" s="124"/>
      <c r="N3" s="125" t="s">
        <v>84</v>
      </c>
      <c r="O3" s="126" t="s">
        <v>121</v>
      </c>
    </row>
    <row r="4" spans="1:15" x14ac:dyDescent="0.25">
      <c r="A4" s="105"/>
      <c r="G4" s="106"/>
      <c r="I4" s="105"/>
      <c r="O4" s="106"/>
    </row>
    <row r="5" spans="1:15" x14ac:dyDescent="0.25">
      <c r="A5" s="107" t="s">
        <v>77</v>
      </c>
      <c r="B5" s="178" t="s">
        <v>36</v>
      </c>
      <c r="C5" s="108" t="s">
        <v>85</v>
      </c>
      <c r="D5" s="108" t="s">
        <v>86</v>
      </c>
      <c r="E5" s="108" t="s">
        <v>5</v>
      </c>
      <c r="F5" s="108" t="s">
        <v>87</v>
      </c>
      <c r="G5" s="109" t="s">
        <v>56</v>
      </c>
      <c r="I5" s="107" t="s">
        <v>77</v>
      </c>
      <c r="J5" s="178" t="s">
        <v>36</v>
      </c>
      <c r="K5" s="108" t="s">
        <v>85</v>
      </c>
      <c r="L5" s="108" t="s">
        <v>86</v>
      </c>
      <c r="M5" s="108" t="s">
        <v>5</v>
      </c>
      <c r="N5" s="108" t="s">
        <v>87</v>
      </c>
      <c r="O5" s="109" t="s">
        <v>56</v>
      </c>
    </row>
    <row r="6" spans="1:15" ht="30" x14ac:dyDescent="0.25">
      <c r="A6" s="110">
        <v>1</v>
      </c>
      <c r="B6" s="178">
        <v>45935</v>
      </c>
      <c r="C6" s="145" t="s">
        <v>199</v>
      </c>
      <c r="D6" s="111" t="s">
        <v>134</v>
      </c>
      <c r="E6" s="167" t="s">
        <v>135</v>
      </c>
      <c r="F6" s="108" t="s">
        <v>136</v>
      </c>
      <c r="G6" s="112">
        <v>530</v>
      </c>
      <c r="I6" s="107">
        <v>1</v>
      </c>
      <c r="J6" s="221">
        <v>44964</v>
      </c>
      <c r="K6" s="145" t="s">
        <v>161</v>
      </c>
      <c r="L6" s="111" t="s">
        <v>134</v>
      </c>
      <c r="M6" s="196" t="s">
        <v>135</v>
      </c>
      <c r="N6" s="108" t="s">
        <v>145</v>
      </c>
      <c r="O6" s="112">
        <v>60</v>
      </c>
    </row>
    <row r="7" spans="1:15" ht="30" x14ac:dyDescent="0.25">
      <c r="A7" s="110">
        <v>2</v>
      </c>
      <c r="B7" s="178">
        <v>45939</v>
      </c>
      <c r="C7" s="145" t="s">
        <v>196</v>
      </c>
      <c r="D7" s="111" t="s">
        <v>134</v>
      </c>
      <c r="E7" s="167" t="s">
        <v>135</v>
      </c>
      <c r="F7" s="108" t="s">
        <v>136</v>
      </c>
      <c r="G7" s="112">
        <v>40</v>
      </c>
      <c r="I7" s="110"/>
      <c r="J7" s="147"/>
      <c r="K7" s="111"/>
      <c r="L7" s="111"/>
      <c r="M7" s="111"/>
      <c r="N7" s="111" t="s">
        <v>23</v>
      </c>
      <c r="O7" s="112">
        <f>SUM(O6:O6)</f>
        <v>60</v>
      </c>
    </row>
    <row r="8" spans="1:15" x14ac:dyDescent="0.25">
      <c r="A8" s="110"/>
      <c r="F8" s="111"/>
      <c r="G8" s="112"/>
      <c r="I8" s="116" t="s">
        <v>78</v>
      </c>
      <c r="J8" s="180"/>
      <c r="K8" s="47"/>
      <c r="L8" s="47" t="s">
        <v>79</v>
      </c>
      <c r="M8" s="47"/>
      <c r="N8" s="47" t="s">
        <v>80</v>
      </c>
      <c r="O8" s="117"/>
    </row>
    <row r="9" spans="1:15" ht="15.75" thickBot="1" x14ac:dyDescent="0.3">
      <c r="A9" s="105"/>
      <c r="F9" s="111" t="s">
        <v>23</v>
      </c>
      <c r="G9" s="112">
        <f>SUM(G6:G7)</f>
        <v>570</v>
      </c>
      <c r="I9" s="127" t="s">
        <v>30</v>
      </c>
      <c r="J9" s="191"/>
      <c r="K9" s="128"/>
      <c r="L9" s="128" t="s">
        <v>81</v>
      </c>
      <c r="M9" s="129"/>
      <c r="N9" s="128" t="s">
        <v>82</v>
      </c>
      <c r="O9" s="130"/>
    </row>
    <row r="10" spans="1:15" ht="15.75" thickBot="1" x14ac:dyDescent="0.3">
      <c r="A10" s="113"/>
      <c r="B10" s="179"/>
      <c r="C10" s="114"/>
      <c r="D10" s="114"/>
      <c r="E10" s="114"/>
      <c r="F10" s="114"/>
      <c r="G10" s="115"/>
    </row>
    <row r="11" spans="1:15" x14ac:dyDescent="0.25">
      <c r="A11" s="116" t="s">
        <v>78</v>
      </c>
      <c r="B11" s="180"/>
      <c r="C11" s="47"/>
      <c r="D11" s="47" t="s">
        <v>79</v>
      </c>
      <c r="E11" s="47"/>
      <c r="F11" s="47" t="s">
        <v>80</v>
      </c>
      <c r="G11" s="117"/>
      <c r="I11" s="334" t="s">
        <v>0</v>
      </c>
      <c r="J11" s="335"/>
      <c r="K11" s="335"/>
      <c r="L11" s="335"/>
      <c r="M11" s="335"/>
      <c r="N11" s="335"/>
      <c r="O11" s="336"/>
    </row>
    <row r="12" spans="1:15" ht="15.75" thickBot="1" x14ac:dyDescent="0.3">
      <c r="A12" s="127" t="s">
        <v>30</v>
      </c>
      <c r="B12" s="191"/>
      <c r="C12" s="128"/>
      <c r="D12" s="128" t="s">
        <v>81</v>
      </c>
      <c r="E12" s="129"/>
      <c r="F12" s="128" t="s">
        <v>82</v>
      </c>
      <c r="G12" s="130"/>
      <c r="I12" s="337"/>
      <c r="J12" s="330"/>
      <c r="K12" s="330"/>
      <c r="L12" s="330"/>
      <c r="M12" s="330"/>
      <c r="N12" s="330"/>
      <c r="O12" s="338"/>
    </row>
    <row r="13" spans="1:15" ht="15.75" thickBot="1" x14ac:dyDescent="0.3">
      <c r="I13" s="339" t="s">
        <v>83</v>
      </c>
      <c r="J13" s="340"/>
      <c r="K13" s="123" t="s">
        <v>125</v>
      </c>
      <c r="L13" s="123"/>
      <c r="M13" s="124"/>
      <c r="N13" s="125" t="s">
        <v>84</v>
      </c>
      <c r="O13" s="126" t="s">
        <v>117</v>
      </c>
    </row>
    <row r="14" spans="1:15" x14ac:dyDescent="0.25">
      <c r="A14" s="334" t="s">
        <v>0</v>
      </c>
      <c r="B14" s="335"/>
      <c r="C14" s="335"/>
      <c r="D14" s="335"/>
      <c r="E14" s="335"/>
      <c r="F14" s="335"/>
      <c r="G14" s="336"/>
      <c r="I14" s="105"/>
      <c r="O14" s="106"/>
    </row>
    <row r="15" spans="1:15" x14ac:dyDescent="0.25">
      <c r="A15" s="337"/>
      <c r="B15" s="330"/>
      <c r="C15" s="330"/>
      <c r="D15" s="330"/>
      <c r="E15" s="330"/>
      <c r="F15" s="330"/>
      <c r="G15" s="338"/>
      <c r="I15" s="107" t="s">
        <v>77</v>
      </c>
      <c r="J15" s="178" t="s">
        <v>36</v>
      </c>
      <c r="K15" s="108" t="s">
        <v>85</v>
      </c>
      <c r="L15" s="108" t="s">
        <v>86</v>
      </c>
      <c r="M15" s="108" t="s">
        <v>5</v>
      </c>
      <c r="N15" s="108" t="s">
        <v>87</v>
      </c>
      <c r="O15" s="109" t="s">
        <v>56</v>
      </c>
    </row>
    <row r="16" spans="1:15" x14ac:dyDescent="0.25">
      <c r="A16" s="339" t="s">
        <v>83</v>
      </c>
      <c r="B16" s="340"/>
      <c r="C16" s="123" t="s">
        <v>126</v>
      </c>
      <c r="D16" s="123"/>
      <c r="E16" s="124"/>
      <c r="F16" s="125" t="s">
        <v>84</v>
      </c>
      <c r="G16" s="126" t="s">
        <v>144</v>
      </c>
      <c r="I16" s="110">
        <v>1</v>
      </c>
      <c r="J16" s="221">
        <v>45202</v>
      </c>
      <c r="K16" s="145" t="s">
        <v>140</v>
      </c>
      <c r="L16" s="111" t="s">
        <v>134</v>
      </c>
      <c r="M16" s="167" t="s">
        <v>135</v>
      </c>
      <c r="N16" s="108" t="s">
        <v>136</v>
      </c>
      <c r="O16" s="112"/>
    </row>
    <row r="17" spans="1:15" x14ac:dyDescent="0.25">
      <c r="A17" s="105"/>
      <c r="G17" s="106"/>
      <c r="I17" s="110">
        <v>2</v>
      </c>
      <c r="J17" s="221">
        <v>45203</v>
      </c>
      <c r="K17" s="108" t="s">
        <v>139</v>
      </c>
      <c r="L17" s="111" t="s">
        <v>134</v>
      </c>
      <c r="M17" s="167" t="s">
        <v>135</v>
      </c>
      <c r="N17" s="108" t="s">
        <v>137</v>
      </c>
      <c r="O17" s="112"/>
    </row>
    <row r="18" spans="1:15" x14ac:dyDescent="0.25">
      <c r="A18" s="107" t="s">
        <v>77</v>
      </c>
      <c r="B18" s="178" t="s">
        <v>36</v>
      </c>
      <c r="C18" s="108" t="s">
        <v>85</v>
      </c>
      <c r="D18" s="108" t="s">
        <v>86</v>
      </c>
      <c r="E18" s="108" t="s">
        <v>5</v>
      </c>
      <c r="F18" s="108" t="s">
        <v>87</v>
      </c>
      <c r="G18" s="109" t="s">
        <v>56</v>
      </c>
      <c r="I18" s="111"/>
      <c r="J18" s="211"/>
      <c r="K18" s="102"/>
      <c r="L18" s="102"/>
      <c r="M18" s="102"/>
      <c r="N18" s="102"/>
      <c r="O18" s="102"/>
    </row>
    <row r="19" spans="1:15" x14ac:dyDescent="0.25">
      <c r="A19" s="107">
        <v>1</v>
      </c>
      <c r="B19" s="221">
        <v>45937</v>
      </c>
      <c r="C19" s="145" t="s">
        <v>218</v>
      </c>
      <c r="D19" s="111" t="s">
        <v>134</v>
      </c>
      <c r="E19" s="215" t="s">
        <v>135</v>
      </c>
      <c r="F19" s="108" t="s">
        <v>145</v>
      </c>
      <c r="G19" s="109">
        <v>40</v>
      </c>
      <c r="I19" s="347"/>
      <c r="J19" s="348"/>
      <c r="K19" s="348"/>
      <c r="L19" s="348"/>
      <c r="M19" s="349"/>
      <c r="N19" s="209" t="s">
        <v>23</v>
      </c>
      <c r="O19" s="210"/>
    </row>
    <row r="20" spans="1:15" ht="30" x14ac:dyDescent="0.25">
      <c r="A20" s="107">
        <v>2</v>
      </c>
      <c r="B20" s="221">
        <v>45938</v>
      </c>
      <c r="C20" s="145" t="s">
        <v>211</v>
      </c>
      <c r="D20" s="108" t="s">
        <v>134</v>
      </c>
      <c r="E20" s="213" t="s">
        <v>135</v>
      </c>
      <c r="F20" s="108" t="s">
        <v>145</v>
      </c>
      <c r="G20" s="109">
        <v>200</v>
      </c>
      <c r="I20" s="105"/>
      <c r="O20" s="106"/>
    </row>
    <row r="21" spans="1:15" x14ac:dyDescent="0.25">
      <c r="A21" s="107">
        <v>3</v>
      </c>
      <c r="B21" s="221">
        <v>45939</v>
      </c>
      <c r="C21" s="145"/>
      <c r="D21" s="108" t="s">
        <v>134</v>
      </c>
      <c r="E21" s="213" t="s">
        <v>135</v>
      </c>
      <c r="F21" s="108" t="s">
        <v>145</v>
      </c>
      <c r="G21" s="109">
        <v>40</v>
      </c>
      <c r="I21" s="113"/>
      <c r="J21" s="179"/>
      <c r="K21" s="114"/>
      <c r="L21" s="114"/>
      <c r="M21" s="114"/>
      <c r="N21" s="114"/>
      <c r="O21" s="115"/>
    </row>
    <row r="22" spans="1:15" x14ac:dyDescent="0.25">
      <c r="A22" s="350"/>
      <c r="B22" s="351"/>
      <c r="C22" s="351"/>
      <c r="D22" s="351"/>
      <c r="E22" s="351"/>
      <c r="F22" s="111" t="s">
        <v>23</v>
      </c>
      <c r="G22" s="112">
        <f>SUM(G19:G21)</f>
        <v>280</v>
      </c>
    </row>
    <row r="23" spans="1:15" ht="15.75" thickBot="1" x14ac:dyDescent="0.3">
      <c r="A23" s="347"/>
      <c r="B23" s="348"/>
      <c r="C23" s="348"/>
      <c r="D23" s="348"/>
      <c r="E23" s="348"/>
      <c r="G23" s="106"/>
    </row>
    <row r="24" spans="1:15" x14ac:dyDescent="0.25">
      <c r="A24" s="113"/>
      <c r="B24" s="179"/>
      <c r="C24" s="114"/>
      <c r="D24" s="114"/>
      <c r="E24" s="114"/>
      <c r="F24" s="114"/>
      <c r="G24" s="115"/>
      <c r="I24" s="334" t="s">
        <v>0</v>
      </c>
      <c r="J24" s="335"/>
      <c r="K24" s="335"/>
      <c r="L24" s="335"/>
      <c r="M24" s="335"/>
      <c r="N24" s="335"/>
      <c r="O24" s="336"/>
    </row>
    <row r="25" spans="1:15" x14ac:dyDescent="0.25">
      <c r="A25" s="116" t="s">
        <v>78</v>
      </c>
      <c r="B25" s="180"/>
      <c r="C25" s="47"/>
      <c r="D25" s="47" t="s">
        <v>79</v>
      </c>
      <c r="E25" s="47"/>
      <c r="F25" s="47" t="s">
        <v>80</v>
      </c>
      <c r="G25" s="117"/>
      <c r="I25" s="337" t="s">
        <v>128</v>
      </c>
      <c r="J25" s="330"/>
      <c r="K25" s="330"/>
      <c r="L25" s="330"/>
      <c r="M25" s="330"/>
      <c r="N25" s="330"/>
      <c r="O25" s="338"/>
    </row>
    <row r="26" spans="1:15" ht="15.75" thickBot="1" x14ac:dyDescent="0.3">
      <c r="A26" s="127" t="s">
        <v>30</v>
      </c>
      <c r="B26" s="191"/>
      <c r="C26" s="128"/>
      <c r="D26" s="128" t="s">
        <v>81</v>
      </c>
      <c r="E26" s="129"/>
      <c r="F26" s="128" t="s">
        <v>82</v>
      </c>
      <c r="G26" s="130"/>
      <c r="I26" s="339" t="s">
        <v>83</v>
      </c>
      <c r="J26" s="340"/>
      <c r="K26" s="123" t="s">
        <v>124</v>
      </c>
      <c r="L26" s="123"/>
      <c r="M26" s="124"/>
      <c r="N26" s="125" t="s">
        <v>84</v>
      </c>
      <c r="O26" s="126" t="s">
        <v>121</v>
      </c>
    </row>
    <row r="27" spans="1:15" ht="15.75" thickBot="1" x14ac:dyDescent="0.3">
      <c r="I27" s="105"/>
      <c r="O27" s="106"/>
    </row>
    <row r="28" spans="1:15" x14ac:dyDescent="0.25">
      <c r="A28" s="334" t="s">
        <v>0</v>
      </c>
      <c r="B28" s="335"/>
      <c r="C28" s="335"/>
      <c r="D28" s="335"/>
      <c r="E28" s="335"/>
      <c r="F28" s="335"/>
      <c r="G28" s="336"/>
      <c r="H28" s="197" t="s">
        <v>127</v>
      </c>
      <c r="I28" s="107" t="s">
        <v>77</v>
      </c>
      <c r="J28" s="178" t="s">
        <v>36</v>
      </c>
      <c r="K28" s="108" t="s">
        <v>85</v>
      </c>
      <c r="L28" s="108" t="s">
        <v>86</v>
      </c>
      <c r="M28" s="108" t="s">
        <v>5</v>
      </c>
      <c r="N28" s="108" t="s">
        <v>87</v>
      </c>
      <c r="O28" s="109" t="s">
        <v>56</v>
      </c>
    </row>
    <row r="29" spans="1:15" x14ac:dyDescent="0.25">
      <c r="A29" s="337"/>
      <c r="B29" s="330"/>
      <c r="C29" s="330"/>
      <c r="D29" s="330"/>
      <c r="E29" s="330"/>
      <c r="F29" s="330"/>
      <c r="G29" s="338"/>
      <c r="I29" s="110">
        <v>1</v>
      </c>
      <c r="J29" s="147"/>
      <c r="K29" s="145"/>
      <c r="L29" s="111"/>
      <c r="M29" s="196"/>
      <c r="N29" s="108"/>
      <c r="O29" s="112"/>
    </row>
    <row r="30" spans="1:15" x14ac:dyDescent="0.25">
      <c r="A30" s="339" t="s">
        <v>83</v>
      </c>
      <c r="B30" s="340"/>
      <c r="C30" s="123" t="s">
        <v>126</v>
      </c>
      <c r="D30" s="123"/>
      <c r="E30" s="124"/>
      <c r="F30" s="125" t="s">
        <v>84</v>
      </c>
      <c r="G30" s="126" t="s">
        <v>117</v>
      </c>
      <c r="I30" s="110">
        <v>2</v>
      </c>
      <c r="J30" s="147"/>
      <c r="K30" s="108"/>
      <c r="L30" s="111"/>
      <c r="M30" s="196"/>
      <c r="N30" s="108"/>
      <c r="O30" s="112"/>
    </row>
    <row r="31" spans="1:15" x14ac:dyDescent="0.25">
      <c r="A31" s="105"/>
      <c r="G31" s="106"/>
      <c r="I31" s="110"/>
      <c r="J31" s="147"/>
      <c r="K31" s="145"/>
      <c r="L31" s="111"/>
      <c r="M31" s="196"/>
      <c r="N31" s="108"/>
      <c r="O31" s="112"/>
    </row>
    <row r="32" spans="1:15" x14ac:dyDescent="0.25">
      <c r="A32" s="107" t="s">
        <v>77</v>
      </c>
      <c r="B32" s="178" t="s">
        <v>36</v>
      </c>
      <c r="C32" s="108" t="s">
        <v>85</v>
      </c>
      <c r="D32" s="108" t="s">
        <v>86</v>
      </c>
      <c r="E32" s="108" t="s">
        <v>5</v>
      </c>
      <c r="F32" s="108" t="s">
        <v>87</v>
      </c>
      <c r="G32" s="109" t="s">
        <v>56</v>
      </c>
      <c r="I32" s="110"/>
      <c r="J32" s="214"/>
      <c r="K32" s="215"/>
      <c r="L32" s="215"/>
      <c r="M32" s="196"/>
      <c r="N32" s="213"/>
      <c r="O32" s="216"/>
    </row>
    <row r="33" spans="1:15" x14ac:dyDescent="0.25">
      <c r="A33" s="107"/>
      <c r="B33" s="221"/>
      <c r="C33" s="145"/>
      <c r="D33" s="108" t="s">
        <v>134</v>
      </c>
      <c r="E33" s="108" t="s">
        <v>135</v>
      </c>
      <c r="F33" s="108" t="s">
        <v>136</v>
      </c>
      <c r="G33" s="109"/>
      <c r="I33" s="110"/>
      <c r="J33" s="211"/>
      <c r="K33" s="102"/>
      <c r="L33" s="102"/>
      <c r="M33" s="102"/>
      <c r="N33" s="102"/>
      <c r="O33" s="102"/>
    </row>
    <row r="34" spans="1:15" x14ac:dyDescent="0.25">
      <c r="A34" s="110">
        <v>1</v>
      </c>
      <c r="B34" s="221"/>
      <c r="C34" s="145"/>
      <c r="D34" s="111" t="s">
        <v>134</v>
      </c>
      <c r="E34" s="167" t="s">
        <v>135</v>
      </c>
      <c r="F34" s="108" t="s">
        <v>138</v>
      </c>
      <c r="G34" s="112"/>
      <c r="I34" s="110"/>
      <c r="J34" s="147"/>
      <c r="K34" s="111"/>
      <c r="L34" s="111"/>
      <c r="M34" s="111"/>
      <c r="N34" s="111" t="s">
        <v>23</v>
      </c>
      <c r="O34" s="112">
        <f>SUM(O29:O32)</f>
        <v>0</v>
      </c>
    </row>
    <row r="35" spans="1:15" x14ac:dyDescent="0.25">
      <c r="A35" s="110">
        <v>2</v>
      </c>
      <c r="B35" s="221"/>
      <c r="C35" s="145"/>
      <c r="D35" s="111" t="s">
        <v>134</v>
      </c>
      <c r="E35" s="167" t="s">
        <v>135</v>
      </c>
      <c r="F35" s="108" t="s">
        <v>136</v>
      </c>
      <c r="G35" s="112"/>
      <c r="I35" s="105"/>
      <c r="O35" s="106"/>
    </row>
    <row r="36" spans="1:15" x14ac:dyDescent="0.25">
      <c r="A36" s="110">
        <v>4</v>
      </c>
      <c r="B36" s="221"/>
      <c r="C36" s="145"/>
      <c r="D36" s="111" t="s">
        <v>134</v>
      </c>
      <c r="E36" s="167" t="s">
        <v>135</v>
      </c>
      <c r="F36" s="108" t="s">
        <v>136</v>
      </c>
      <c r="G36" s="112"/>
      <c r="I36" s="113"/>
      <c r="J36" s="179"/>
      <c r="K36" s="114"/>
      <c r="L36" s="114"/>
      <c r="M36" s="114"/>
      <c r="N36" s="114"/>
      <c r="O36" s="115"/>
    </row>
    <row r="37" spans="1:15" x14ac:dyDescent="0.25">
      <c r="A37" s="341"/>
      <c r="B37" s="342"/>
      <c r="C37" s="342"/>
      <c r="D37" s="342"/>
      <c r="E37" s="343"/>
      <c r="F37" s="111" t="s">
        <v>23</v>
      </c>
      <c r="G37" s="112">
        <f>SUM(G33:G36)</f>
        <v>0</v>
      </c>
      <c r="I37" s="116" t="s">
        <v>78</v>
      </c>
      <c r="J37" s="180"/>
      <c r="K37" s="47"/>
      <c r="L37" s="47" t="s">
        <v>79</v>
      </c>
      <c r="M37" s="47"/>
      <c r="N37" s="47" t="s">
        <v>80</v>
      </c>
      <c r="O37" s="117"/>
    </row>
    <row r="38" spans="1:15" ht="15.75" thickBot="1" x14ac:dyDescent="0.3">
      <c r="A38" s="105"/>
      <c r="G38" s="106"/>
      <c r="I38" s="127" t="s">
        <v>30</v>
      </c>
      <c r="J38" s="191"/>
      <c r="K38" s="128"/>
      <c r="L38" s="128" t="s">
        <v>81</v>
      </c>
      <c r="M38" s="129"/>
      <c r="N38" s="128" t="s">
        <v>82</v>
      </c>
      <c r="O38" s="130"/>
    </row>
    <row r="39" spans="1:15" x14ac:dyDescent="0.25">
      <c r="A39" s="113"/>
      <c r="B39" s="179"/>
      <c r="D39" s="114"/>
      <c r="E39" s="114"/>
      <c r="F39" s="114"/>
      <c r="G39" s="115"/>
    </row>
    <row r="40" spans="1:15" x14ac:dyDescent="0.25">
      <c r="A40" s="116" t="s">
        <v>78</v>
      </c>
      <c r="B40" s="180"/>
      <c r="C40" s="47"/>
      <c r="D40" s="47" t="s">
        <v>79</v>
      </c>
      <c r="E40" s="47"/>
      <c r="F40" s="47" t="s">
        <v>80</v>
      </c>
      <c r="G40" s="117"/>
    </row>
    <row r="41" spans="1:15" ht="15.75" thickBot="1" x14ac:dyDescent="0.3">
      <c r="A41" s="127" t="s">
        <v>30</v>
      </c>
      <c r="B41" s="191"/>
      <c r="C41" s="128"/>
      <c r="D41" s="128" t="s">
        <v>81</v>
      </c>
      <c r="E41" s="129"/>
      <c r="F41" s="128" t="s">
        <v>82</v>
      </c>
      <c r="G41" s="130"/>
    </row>
    <row r="42" spans="1:15" ht="15.75" thickBot="1" x14ac:dyDescent="0.3"/>
    <row r="43" spans="1:15" x14ac:dyDescent="0.25">
      <c r="A43" s="334" t="s">
        <v>0</v>
      </c>
      <c r="B43" s="335"/>
      <c r="C43" s="335"/>
      <c r="D43" s="335"/>
      <c r="E43" s="335"/>
      <c r="F43" s="335"/>
      <c r="G43" s="336"/>
    </row>
    <row r="44" spans="1:15" x14ac:dyDescent="0.25">
      <c r="A44" s="337"/>
      <c r="B44" s="330"/>
      <c r="C44" s="330"/>
      <c r="D44" s="330"/>
      <c r="E44" s="330"/>
      <c r="F44" s="330"/>
      <c r="G44" s="338"/>
    </row>
    <row r="45" spans="1:15" x14ac:dyDescent="0.25">
      <c r="A45" s="339" t="s">
        <v>83</v>
      </c>
      <c r="B45" s="340"/>
      <c r="C45" s="123" t="s">
        <v>124</v>
      </c>
      <c r="D45" s="123"/>
      <c r="E45" s="124"/>
      <c r="F45" s="125" t="s">
        <v>84</v>
      </c>
      <c r="G45" s="126" t="s">
        <v>121</v>
      </c>
    </row>
    <row r="46" spans="1:15" x14ac:dyDescent="0.25">
      <c r="A46" s="105"/>
      <c r="G46" s="106"/>
    </row>
    <row r="47" spans="1:15" x14ac:dyDescent="0.25">
      <c r="A47" s="107" t="s">
        <v>77</v>
      </c>
      <c r="B47" s="178" t="s">
        <v>36</v>
      </c>
      <c r="C47" s="108" t="s">
        <v>85</v>
      </c>
      <c r="D47" s="108" t="s">
        <v>86</v>
      </c>
      <c r="E47" s="108" t="s">
        <v>5</v>
      </c>
      <c r="F47" s="108" t="s">
        <v>87</v>
      </c>
      <c r="G47" s="109" t="s">
        <v>56</v>
      </c>
    </row>
    <row r="48" spans="1:15" x14ac:dyDescent="0.25">
      <c r="A48" s="107">
        <v>1</v>
      </c>
      <c r="B48" s="221"/>
      <c r="C48" s="145"/>
      <c r="D48" s="111" t="s">
        <v>134</v>
      </c>
      <c r="E48" s="196" t="s">
        <v>135</v>
      </c>
      <c r="F48" s="108" t="s">
        <v>145</v>
      </c>
      <c r="G48" s="112"/>
    </row>
    <row r="49" spans="1:7" x14ac:dyDescent="0.25">
      <c r="A49" s="110"/>
      <c r="B49" s="221"/>
      <c r="C49" s="108"/>
      <c r="D49" s="111"/>
      <c r="E49" s="167"/>
      <c r="F49" s="108"/>
      <c r="G49" s="112"/>
    </row>
    <row r="50" spans="1:7" x14ac:dyDescent="0.25">
      <c r="A50" s="111"/>
      <c r="B50" s="211"/>
      <c r="C50" s="102"/>
      <c r="D50" s="102"/>
      <c r="E50" s="102"/>
      <c r="F50" s="102"/>
      <c r="G50" s="102"/>
    </row>
    <row r="51" spans="1:7" x14ac:dyDescent="0.25">
      <c r="A51" s="347"/>
      <c r="B51" s="348"/>
      <c r="C51" s="348"/>
      <c r="D51" s="348"/>
      <c r="E51" s="349"/>
      <c r="F51" s="209" t="s">
        <v>23</v>
      </c>
      <c r="G51" s="210">
        <f>SUM(G48:G49)</f>
        <v>0</v>
      </c>
    </row>
    <row r="52" spans="1:7" x14ac:dyDescent="0.25">
      <c r="A52" s="105"/>
      <c r="G52" s="106"/>
    </row>
    <row r="53" spans="1:7" x14ac:dyDescent="0.25">
      <c r="A53" s="113"/>
      <c r="B53" s="179"/>
      <c r="C53" s="114"/>
      <c r="D53" s="114"/>
      <c r="E53" s="114"/>
      <c r="F53" s="114"/>
      <c r="G53" s="115"/>
    </row>
    <row r="54" spans="1:7" x14ac:dyDescent="0.25">
      <c r="A54" s="116" t="s">
        <v>78</v>
      </c>
      <c r="B54" s="180"/>
      <c r="C54" s="47"/>
      <c r="D54" s="47" t="s">
        <v>79</v>
      </c>
      <c r="E54" s="47"/>
      <c r="F54" s="47" t="s">
        <v>80</v>
      </c>
      <c r="G54" s="117"/>
    </row>
    <row r="55" spans="1:7" ht="15.75" thickBot="1" x14ac:dyDescent="0.3">
      <c r="A55" s="127" t="s">
        <v>30</v>
      </c>
      <c r="B55" s="191"/>
      <c r="C55" s="128"/>
      <c r="D55" s="128" t="s">
        <v>81</v>
      </c>
      <c r="E55" s="129"/>
      <c r="F55" s="128" t="s">
        <v>82</v>
      </c>
      <c r="G55" s="130"/>
    </row>
    <row r="56" spans="1:7" ht="15.75" thickBot="1" x14ac:dyDescent="0.3"/>
    <row r="57" spans="1:7" x14ac:dyDescent="0.25">
      <c r="A57" s="334" t="s">
        <v>0</v>
      </c>
      <c r="B57" s="335"/>
      <c r="C57" s="335"/>
      <c r="D57" s="335"/>
      <c r="E57" s="335"/>
      <c r="F57" s="335"/>
      <c r="G57" s="336"/>
    </row>
    <row r="58" spans="1:7" x14ac:dyDescent="0.25">
      <c r="A58" s="337" t="s">
        <v>53</v>
      </c>
      <c r="B58" s="330"/>
      <c r="C58" s="330"/>
      <c r="D58" s="330"/>
      <c r="E58" s="330"/>
      <c r="F58" s="330"/>
      <c r="G58" s="338"/>
    </row>
    <row r="59" spans="1:7" x14ac:dyDescent="0.25">
      <c r="A59" s="339" t="s">
        <v>83</v>
      </c>
      <c r="B59" s="340"/>
      <c r="C59" s="123" t="s">
        <v>126</v>
      </c>
      <c r="D59" s="123"/>
      <c r="E59" s="124"/>
      <c r="F59" s="125" t="s">
        <v>84</v>
      </c>
      <c r="G59" s="126" t="s">
        <v>117</v>
      </c>
    </row>
    <row r="60" spans="1:7" x14ac:dyDescent="0.25">
      <c r="A60" s="105"/>
      <c r="G60" s="106"/>
    </row>
    <row r="61" spans="1:7" x14ac:dyDescent="0.25">
      <c r="A61" s="107" t="s">
        <v>77</v>
      </c>
      <c r="B61" s="178" t="s">
        <v>36</v>
      </c>
      <c r="C61" s="108" t="s">
        <v>85</v>
      </c>
      <c r="D61" s="108" t="s">
        <v>86</v>
      </c>
      <c r="E61" s="108" t="s">
        <v>5</v>
      </c>
      <c r="F61" s="108" t="s">
        <v>87</v>
      </c>
      <c r="G61" s="109" t="s">
        <v>56</v>
      </c>
    </row>
    <row r="62" spans="1:7" ht="15.75" x14ac:dyDescent="0.25">
      <c r="A62" s="107">
        <v>1</v>
      </c>
      <c r="B62" s="31"/>
      <c r="C62" s="145"/>
      <c r="D62" s="111" t="s">
        <v>141</v>
      </c>
      <c r="E62" s="167" t="s">
        <v>147</v>
      </c>
      <c r="F62" s="108" t="s">
        <v>137</v>
      </c>
      <c r="G62" s="112">
        <v>40</v>
      </c>
    </row>
    <row r="63" spans="1:7" ht="15.75" x14ac:dyDescent="0.25">
      <c r="A63" s="110">
        <v>2</v>
      </c>
      <c r="B63" s="31"/>
      <c r="C63" s="111"/>
      <c r="D63" s="208" t="s">
        <v>134</v>
      </c>
      <c r="E63" s="102" t="s">
        <v>147</v>
      </c>
      <c r="F63" s="208" t="s">
        <v>137</v>
      </c>
      <c r="G63" s="208">
        <v>200</v>
      </c>
    </row>
    <row r="64" spans="1:7" x14ac:dyDescent="0.25">
      <c r="A64" s="110"/>
      <c r="B64" s="147"/>
      <c r="C64" s="111"/>
      <c r="D64" s="111"/>
      <c r="E64" s="111"/>
      <c r="F64" s="111" t="s">
        <v>23</v>
      </c>
      <c r="G64" s="112">
        <f>SUM(G62:G63)</f>
        <v>240</v>
      </c>
    </row>
    <row r="65" spans="1:7" x14ac:dyDescent="0.25">
      <c r="A65" s="105"/>
      <c r="G65" s="106"/>
    </row>
    <row r="66" spans="1:7" x14ac:dyDescent="0.25">
      <c r="A66" s="113"/>
      <c r="B66" s="179"/>
      <c r="C66" s="114"/>
      <c r="D66" s="114"/>
      <c r="E66" s="114"/>
      <c r="F66" s="114"/>
      <c r="G66" s="115"/>
    </row>
    <row r="67" spans="1:7" x14ac:dyDescent="0.25">
      <c r="A67" s="116" t="s">
        <v>78</v>
      </c>
      <c r="B67" s="180"/>
      <c r="C67" s="47"/>
      <c r="D67" s="47" t="s">
        <v>79</v>
      </c>
      <c r="E67" s="47"/>
      <c r="F67" s="47" t="s">
        <v>80</v>
      </c>
      <c r="G67" s="117"/>
    </row>
    <row r="68" spans="1:7" ht="15.75" thickBot="1" x14ac:dyDescent="0.3">
      <c r="A68" s="127" t="s">
        <v>30</v>
      </c>
      <c r="B68" s="191"/>
      <c r="C68" s="128"/>
      <c r="D68" s="128" t="s">
        <v>81</v>
      </c>
      <c r="E68" s="129"/>
      <c r="F68" s="128" t="s">
        <v>82</v>
      </c>
      <c r="G68" s="130"/>
    </row>
    <row r="69" spans="1:7" ht="15.75" thickBot="1" x14ac:dyDescent="0.3"/>
    <row r="70" spans="1:7" x14ac:dyDescent="0.25">
      <c r="A70" s="334" t="s">
        <v>0</v>
      </c>
      <c r="B70" s="335"/>
      <c r="C70" s="335"/>
      <c r="D70" s="335"/>
      <c r="E70" s="335"/>
      <c r="F70" s="335"/>
      <c r="G70" s="336"/>
    </row>
    <row r="71" spans="1:7" x14ac:dyDescent="0.25">
      <c r="A71" s="337" t="s">
        <v>128</v>
      </c>
      <c r="B71" s="330"/>
      <c r="C71" s="330"/>
      <c r="D71" s="330"/>
      <c r="E71" s="330"/>
      <c r="F71" s="330"/>
      <c r="G71" s="338"/>
    </row>
    <row r="72" spans="1:7" x14ac:dyDescent="0.25">
      <c r="A72" s="339" t="s">
        <v>83</v>
      </c>
      <c r="B72" s="340"/>
      <c r="C72" s="123" t="s">
        <v>151</v>
      </c>
      <c r="D72" s="123"/>
      <c r="E72" s="124"/>
      <c r="F72" s="125" t="s">
        <v>84</v>
      </c>
      <c r="G72" s="126" t="s">
        <v>152</v>
      </c>
    </row>
    <row r="73" spans="1:7" x14ac:dyDescent="0.25">
      <c r="A73" s="105"/>
      <c r="G73" s="106"/>
    </row>
    <row r="74" spans="1:7" x14ac:dyDescent="0.25">
      <c r="A74" s="107" t="s">
        <v>77</v>
      </c>
      <c r="B74" s="178" t="s">
        <v>36</v>
      </c>
      <c r="C74" s="108" t="s">
        <v>85</v>
      </c>
      <c r="D74" s="108" t="s">
        <v>86</v>
      </c>
      <c r="E74" s="108" t="s">
        <v>5</v>
      </c>
      <c r="F74" s="108" t="s">
        <v>87</v>
      </c>
      <c r="G74" s="109" t="s">
        <v>56</v>
      </c>
    </row>
    <row r="75" spans="1:7" x14ac:dyDescent="0.25">
      <c r="A75" s="110">
        <v>1</v>
      </c>
      <c r="B75" s="147">
        <v>45937</v>
      </c>
      <c r="C75" s="196" t="s">
        <v>134</v>
      </c>
      <c r="D75" s="111" t="s">
        <v>141</v>
      </c>
      <c r="E75" s="196" t="s">
        <v>134</v>
      </c>
      <c r="F75" s="108" t="s">
        <v>137</v>
      </c>
      <c r="G75" s="112">
        <v>50</v>
      </c>
    </row>
    <row r="76" spans="1:7" ht="45" x14ac:dyDescent="0.25">
      <c r="A76" s="110">
        <v>2</v>
      </c>
      <c r="B76" s="147">
        <v>45939</v>
      </c>
      <c r="C76" s="145" t="s">
        <v>134</v>
      </c>
      <c r="D76" s="160" t="s">
        <v>224</v>
      </c>
      <c r="E76" s="196" t="s">
        <v>134</v>
      </c>
      <c r="F76" s="108" t="s">
        <v>137</v>
      </c>
      <c r="G76" s="112">
        <v>200</v>
      </c>
    </row>
    <row r="77" spans="1:7" ht="30" x14ac:dyDescent="0.25">
      <c r="A77" s="110">
        <v>3</v>
      </c>
      <c r="B77" s="147">
        <v>45939</v>
      </c>
      <c r="C77" s="145" t="s">
        <v>224</v>
      </c>
      <c r="D77" s="111" t="s">
        <v>141</v>
      </c>
      <c r="E77" s="196" t="s">
        <v>134</v>
      </c>
      <c r="F77" s="108" t="s">
        <v>137</v>
      </c>
      <c r="G77" s="112">
        <v>50</v>
      </c>
    </row>
    <row r="78" spans="1:7" x14ac:dyDescent="0.25">
      <c r="A78" s="344"/>
      <c r="B78" s="345"/>
      <c r="C78" s="345"/>
      <c r="D78" s="345"/>
      <c r="E78" s="345"/>
      <c r="F78" s="346"/>
      <c r="G78" s="102"/>
    </row>
    <row r="79" spans="1:7" x14ac:dyDescent="0.25">
      <c r="A79" s="105"/>
      <c r="C79" s="184"/>
      <c r="D79" s="114"/>
      <c r="E79" s="165"/>
      <c r="F79" s="197" t="s">
        <v>143</v>
      </c>
      <c r="G79" s="117">
        <f>SUM(G75:G77)</f>
        <v>300</v>
      </c>
    </row>
    <row r="80" spans="1:7" x14ac:dyDescent="0.25">
      <c r="A80" s="105"/>
      <c r="C80" s="184"/>
      <c r="D80" s="114"/>
      <c r="E80" s="165"/>
      <c r="G80" s="106"/>
    </row>
    <row r="81" spans="1:7" x14ac:dyDescent="0.25">
      <c r="A81" s="105"/>
      <c r="C81" s="184"/>
      <c r="D81" s="114"/>
      <c r="E81" s="165"/>
      <c r="G81" s="106"/>
    </row>
    <row r="82" spans="1:7" x14ac:dyDescent="0.25">
      <c r="A82" s="105"/>
      <c r="C82" s="184"/>
      <c r="D82" s="114"/>
      <c r="E82" s="165"/>
      <c r="G82" s="106"/>
    </row>
    <row r="83" spans="1:7" x14ac:dyDescent="0.25">
      <c r="A83" s="113"/>
      <c r="B83" s="179"/>
      <c r="C83" s="114"/>
      <c r="D83" s="114"/>
      <c r="E83" s="114"/>
      <c r="F83" s="114"/>
      <c r="G83" s="115"/>
    </row>
    <row r="84" spans="1:7" x14ac:dyDescent="0.25">
      <c r="A84" s="116" t="s">
        <v>78</v>
      </c>
      <c r="B84" s="180"/>
      <c r="C84" s="47"/>
      <c r="D84" s="47" t="s">
        <v>79</v>
      </c>
      <c r="E84" s="47"/>
      <c r="F84" s="47" t="s">
        <v>80</v>
      </c>
      <c r="G84" s="117"/>
    </row>
    <row r="85" spans="1:7" ht="15.75" thickBot="1" x14ac:dyDescent="0.3">
      <c r="A85" s="127" t="s">
        <v>30</v>
      </c>
      <c r="B85" s="191"/>
      <c r="C85" s="128"/>
      <c r="D85" s="128" t="s">
        <v>81</v>
      </c>
      <c r="E85" s="129"/>
      <c r="F85" s="128" t="s">
        <v>82</v>
      </c>
      <c r="G85" s="130"/>
    </row>
    <row r="87" spans="1:7" ht="15.75" thickBot="1" x14ac:dyDescent="0.3"/>
    <row r="88" spans="1:7" x14ac:dyDescent="0.25">
      <c r="A88" s="334" t="s">
        <v>0</v>
      </c>
      <c r="B88" s="335"/>
      <c r="C88" s="335"/>
      <c r="D88" s="335"/>
      <c r="E88" s="335"/>
      <c r="F88" s="335"/>
      <c r="G88" s="336"/>
    </row>
    <row r="89" spans="1:7" x14ac:dyDescent="0.25">
      <c r="A89" s="337" t="s">
        <v>164</v>
      </c>
      <c r="B89" s="330"/>
      <c r="C89" s="330"/>
      <c r="D89" s="330"/>
      <c r="E89" s="330"/>
      <c r="F89" s="330"/>
      <c r="G89" s="338"/>
    </row>
    <row r="90" spans="1:7" x14ac:dyDescent="0.25">
      <c r="A90" s="339" t="s">
        <v>83</v>
      </c>
      <c r="B90" s="340"/>
      <c r="C90" s="123" t="s">
        <v>213</v>
      </c>
      <c r="D90" s="123"/>
      <c r="E90" s="124"/>
      <c r="F90" s="125" t="s">
        <v>84</v>
      </c>
      <c r="G90" s="126" t="s">
        <v>117</v>
      </c>
    </row>
    <row r="91" spans="1:7" x14ac:dyDescent="0.25">
      <c r="A91" s="105"/>
      <c r="G91" s="106"/>
    </row>
    <row r="92" spans="1:7" x14ac:dyDescent="0.25">
      <c r="A92" s="107" t="s">
        <v>77</v>
      </c>
      <c r="B92" s="178" t="s">
        <v>36</v>
      </c>
      <c r="C92" s="108" t="s">
        <v>85</v>
      </c>
      <c r="D92" s="108" t="s">
        <v>86</v>
      </c>
      <c r="E92" s="108" t="s">
        <v>5</v>
      </c>
      <c r="F92" s="108" t="s">
        <v>87</v>
      </c>
      <c r="G92" s="109" t="s">
        <v>56</v>
      </c>
    </row>
    <row r="93" spans="1:7" ht="15.75" x14ac:dyDescent="0.25">
      <c r="A93" s="107">
        <v>1</v>
      </c>
      <c r="B93" s="31">
        <v>45935</v>
      </c>
      <c r="C93" s="145" t="s">
        <v>134</v>
      </c>
      <c r="D93" s="111" t="s">
        <v>141</v>
      </c>
      <c r="E93" s="167" t="s">
        <v>147</v>
      </c>
      <c r="F93" s="108" t="s">
        <v>137</v>
      </c>
      <c r="G93" s="112">
        <v>180</v>
      </c>
    </row>
    <row r="94" spans="1:7" ht="15.75" x14ac:dyDescent="0.25">
      <c r="A94" s="110">
        <v>2</v>
      </c>
      <c r="B94" s="31">
        <v>45935</v>
      </c>
      <c r="C94" s="111" t="s">
        <v>141</v>
      </c>
      <c r="D94" s="208" t="s">
        <v>134</v>
      </c>
      <c r="E94" s="102" t="s">
        <v>147</v>
      </c>
      <c r="F94" s="208" t="s">
        <v>137</v>
      </c>
      <c r="G94" s="208">
        <v>70</v>
      </c>
    </row>
    <row r="95" spans="1:7" x14ac:dyDescent="0.25">
      <c r="A95" s="110"/>
      <c r="B95" s="147"/>
      <c r="C95" s="111"/>
      <c r="D95" s="111"/>
      <c r="E95" s="111"/>
      <c r="F95" s="111" t="s">
        <v>23</v>
      </c>
      <c r="G95" s="112">
        <f>SUM(G93:G94)</f>
        <v>250</v>
      </c>
    </row>
    <row r="96" spans="1:7" x14ac:dyDescent="0.25">
      <c r="A96" s="105"/>
      <c r="G96" s="106"/>
    </row>
    <row r="97" spans="1:7" x14ac:dyDescent="0.25">
      <c r="A97" s="113"/>
      <c r="B97" s="179"/>
      <c r="C97" s="114"/>
      <c r="D97" s="114"/>
      <c r="E97" s="114"/>
      <c r="F97" s="114"/>
      <c r="G97" s="115"/>
    </row>
    <row r="98" spans="1:7" x14ac:dyDescent="0.25">
      <c r="A98" s="116" t="s">
        <v>78</v>
      </c>
      <c r="B98" s="180"/>
      <c r="C98" s="47"/>
      <c r="D98" s="47" t="s">
        <v>79</v>
      </c>
      <c r="E98" s="47"/>
      <c r="F98" s="47" t="s">
        <v>80</v>
      </c>
      <c r="G98" s="117"/>
    </row>
    <row r="99" spans="1:7" ht="15.75" thickBot="1" x14ac:dyDescent="0.3">
      <c r="A99" s="127" t="s">
        <v>30</v>
      </c>
      <c r="B99" s="191"/>
      <c r="C99" s="128"/>
      <c r="D99" s="128" t="s">
        <v>81</v>
      </c>
      <c r="E99" s="129"/>
      <c r="F99" s="128" t="s">
        <v>82</v>
      </c>
      <c r="G99" s="130"/>
    </row>
  </sheetData>
  <mergeCells count="35">
    <mergeCell ref="I19:M19"/>
    <mergeCell ref="I24:O24"/>
    <mergeCell ref="I25:O25"/>
    <mergeCell ref="I26:J26"/>
    <mergeCell ref="A22:E23"/>
    <mergeCell ref="A30:B30"/>
    <mergeCell ref="A29:G29"/>
    <mergeCell ref="A28:G28"/>
    <mergeCell ref="A1:G1"/>
    <mergeCell ref="A2:G2"/>
    <mergeCell ref="A3:B3"/>
    <mergeCell ref="A16:B16"/>
    <mergeCell ref="A15:G15"/>
    <mergeCell ref="I13:J13"/>
    <mergeCell ref="I1:O1"/>
    <mergeCell ref="I2:O2"/>
    <mergeCell ref="I3:J3"/>
    <mergeCell ref="A14:G14"/>
    <mergeCell ref="I11:O11"/>
    <mergeCell ref="I12:O12"/>
    <mergeCell ref="A88:G88"/>
    <mergeCell ref="A89:G89"/>
    <mergeCell ref="A90:B90"/>
    <mergeCell ref="A37:E37"/>
    <mergeCell ref="A78:F78"/>
    <mergeCell ref="A72:B72"/>
    <mergeCell ref="A71:G71"/>
    <mergeCell ref="A43:G43"/>
    <mergeCell ref="A44:G44"/>
    <mergeCell ref="A45:B45"/>
    <mergeCell ref="A51:E51"/>
    <mergeCell ref="A70:G70"/>
    <mergeCell ref="A59:B59"/>
    <mergeCell ref="A58:G58"/>
    <mergeCell ref="A57:G57"/>
  </mergeCells>
  <pageMargins left="0.7" right="0.7" top="0.75" bottom="0.75" header="0.3" footer="0.3"/>
  <pageSetup scale="4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69"/>
  <sheetViews>
    <sheetView zoomScaleNormal="100" workbookViewId="0">
      <pane xSplit="12" ySplit="4" topLeftCell="M5" activePane="bottomRight" state="frozen"/>
      <selection pane="topRight" activeCell="M1" sqref="M1"/>
      <selection pane="bottomLeft" activeCell="A5" sqref="A5"/>
      <selection pane="bottomRight" activeCell="H14" sqref="H14"/>
    </sheetView>
  </sheetViews>
  <sheetFormatPr defaultRowHeight="15" x14ac:dyDescent="0.25"/>
  <cols>
    <col min="1" max="1" width="13.28515625" customWidth="1"/>
    <col min="3" max="3" width="13.42578125" customWidth="1"/>
    <col min="8" max="8" width="11.42578125" customWidth="1"/>
  </cols>
  <sheetData>
    <row r="1" spans="1:12" x14ac:dyDescent="0.25">
      <c r="A1" s="352" t="s">
        <v>52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</row>
    <row r="2" spans="1:12" x14ac:dyDescent="0.25">
      <c r="A2" s="25"/>
      <c r="B2" s="26"/>
      <c r="C2" s="26"/>
      <c r="D2" s="26"/>
      <c r="E2" s="27"/>
      <c r="F2" s="27"/>
      <c r="G2" s="353" t="s">
        <v>35</v>
      </c>
      <c r="H2" s="354"/>
      <c r="I2" s="354"/>
      <c r="J2" s="354"/>
      <c r="K2" s="355"/>
      <c r="L2" s="24"/>
    </row>
    <row r="3" spans="1:12" ht="21" x14ac:dyDescent="0.25">
      <c r="A3" s="141" t="s">
        <v>36</v>
      </c>
      <c r="B3" s="28" t="s">
        <v>114</v>
      </c>
      <c r="C3" s="28" t="s">
        <v>38</v>
      </c>
      <c r="D3" s="28" t="s">
        <v>39</v>
      </c>
      <c r="E3" s="28" t="s">
        <v>48</v>
      </c>
      <c r="F3" s="28" t="s">
        <v>49</v>
      </c>
      <c r="G3" s="28" t="s">
        <v>43</v>
      </c>
      <c r="H3" s="28" t="s">
        <v>50</v>
      </c>
      <c r="I3" s="28" t="s">
        <v>45</v>
      </c>
      <c r="J3" s="28" t="s">
        <v>46</v>
      </c>
      <c r="K3" s="28" t="s">
        <v>47</v>
      </c>
      <c r="L3" s="28" t="s">
        <v>23</v>
      </c>
    </row>
    <row r="4" spans="1:12" x14ac:dyDescent="0.25">
      <c r="A4" s="29"/>
      <c r="B4" s="30"/>
      <c r="C4" s="30"/>
      <c r="D4" s="30">
        <f>SUM(D5:D100)</f>
        <v>168</v>
      </c>
      <c r="E4" s="30">
        <f t="shared" ref="E4:F4" si="0">SUM(E5:E100)</f>
        <v>0</v>
      </c>
      <c r="F4" s="30">
        <f t="shared" si="0"/>
        <v>1450</v>
      </c>
      <c r="G4" s="30"/>
      <c r="H4" s="30">
        <f>SUM(H5:H100)</f>
        <v>250</v>
      </c>
      <c r="I4" s="30">
        <f>SUM(I5:I100)</f>
        <v>0</v>
      </c>
      <c r="J4" s="30">
        <f>SUM(J5:J100)</f>
        <v>0</v>
      </c>
      <c r="K4" s="30">
        <f>SUM(K5:K100)</f>
        <v>0</v>
      </c>
      <c r="L4" s="30">
        <f>SUM(E4,F4,H4,I4,J4,K4)</f>
        <v>1700</v>
      </c>
    </row>
    <row r="5" spans="1:12" ht="39" x14ac:dyDescent="0.25">
      <c r="A5" s="31">
        <v>45935</v>
      </c>
      <c r="B5" s="32">
        <v>10510</v>
      </c>
      <c r="C5" s="32" t="s">
        <v>185</v>
      </c>
      <c r="D5" s="33">
        <v>168</v>
      </c>
      <c r="E5" s="33"/>
      <c r="F5" s="33">
        <v>1450</v>
      </c>
      <c r="G5" s="33" t="s">
        <v>213</v>
      </c>
      <c r="H5" s="34">
        <v>250</v>
      </c>
      <c r="I5" s="34"/>
      <c r="J5" s="34"/>
      <c r="K5" s="34"/>
      <c r="L5" s="35"/>
    </row>
    <row r="6" spans="1:12" ht="15.75" x14ac:dyDescent="0.25">
      <c r="A6" s="31"/>
      <c r="B6" s="32"/>
      <c r="C6" s="32"/>
      <c r="D6" s="33"/>
      <c r="E6" s="33"/>
      <c r="F6" s="33"/>
      <c r="G6" s="32"/>
      <c r="H6" s="34"/>
      <c r="I6" s="34"/>
      <c r="J6" s="34"/>
      <c r="K6" s="34"/>
      <c r="L6" s="35"/>
    </row>
    <row r="7" spans="1:12" ht="15.75" x14ac:dyDescent="0.25">
      <c r="A7" s="31"/>
      <c r="B7" s="32"/>
      <c r="C7" s="32"/>
      <c r="D7" s="33"/>
      <c r="E7" s="33"/>
      <c r="F7" s="33"/>
      <c r="G7" s="32"/>
      <c r="H7" s="34"/>
      <c r="I7" s="34"/>
      <c r="J7" s="34"/>
      <c r="K7" s="34"/>
      <c r="L7" s="35"/>
    </row>
    <row r="8" spans="1:12" ht="15.75" x14ac:dyDescent="0.25">
      <c r="A8" s="31"/>
      <c r="B8" s="32"/>
      <c r="C8" s="32"/>
      <c r="D8" s="33"/>
      <c r="E8" s="33"/>
      <c r="F8" s="33"/>
      <c r="G8" s="32"/>
      <c r="H8" s="34"/>
      <c r="I8" s="34"/>
      <c r="J8" s="34"/>
      <c r="K8" s="34"/>
      <c r="L8" s="35"/>
    </row>
    <row r="9" spans="1:12" ht="15.75" x14ac:dyDescent="0.25">
      <c r="A9" s="31"/>
      <c r="B9" s="32"/>
      <c r="C9" s="32"/>
      <c r="D9" s="33"/>
      <c r="E9" s="33"/>
      <c r="F9" s="33"/>
      <c r="G9" s="32"/>
      <c r="H9" s="34"/>
      <c r="I9" s="34"/>
      <c r="J9" s="34"/>
      <c r="K9" s="34"/>
      <c r="L9" s="35"/>
    </row>
    <row r="10" spans="1:12" ht="15.75" x14ac:dyDescent="0.25">
      <c r="A10" s="31"/>
      <c r="B10" s="32"/>
      <c r="C10" s="32"/>
      <c r="D10" s="33"/>
      <c r="E10" s="33"/>
      <c r="F10" s="33"/>
      <c r="G10" s="32"/>
      <c r="H10" s="34"/>
      <c r="I10" s="34"/>
      <c r="J10" s="34"/>
      <c r="K10" s="34"/>
      <c r="L10" s="35"/>
    </row>
    <row r="11" spans="1:12" ht="15.75" x14ac:dyDescent="0.25">
      <c r="A11" s="31"/>
      <c r="B11" s="32"/>
      <c r="C11" s="32"/>
      <c r="D11" s="33"/>
      <c r="E11" s="33"/>
      <c r="F11" s="33"/>
      <c r="G11" s="32"/>
      <c r="H11" s="34"/>
      <c r="I11" s="34"/>
      <c r="J11" s="34"/>
      <c r="K11" s="34"/>
      <c r="L11" s="35"/>
    </row>
    <row r="12" spans="1:12" ht="15.75" x14ac:dyDescent="0.25">
      <c r="A12" s="31"/>
      <c r="B12" s="32"/>
      <c r="C12" s="32"/>
      <c r="D12" s="33"/>
      <c r="E12" s="33"/>
      <c r="F12" s="33"/>
      <c r="G12" s="32"/>
      <c r="H12" s="34"/>
      <c r="I12" s="34"/>
      <c r="J12" s="34"/>
      <c r="K12" s="34"/>
      <c r="L12" s="35"/>
    </row>
    <row r="13" spans="1:12" ht="15.75" x14ac:dyDescent="0.25">
      <c r="A13" s="31"/>
      <c r="B13" s="32"/>
      <c r="C13" s="32"/>
      <c r="D13" s="33"/>
      <c r="E13" s="33"/>
      <c r="F13" s="33"/>
      <c r="G13" s="32"/>
      <c r="H13" s="34"/>
      <c r="I13" s="34"/>
      <c r="J13" s="34"/>
      <c r="K13" s="34"/>
      <c r="L13" s="35"/>
    </row>
    <row r="14" spans="1:12" ht="15.75" x14ac:dyDescent="0.25">
      <c r="A14" s="31"/>
      <c r="B14" s="32"/>
      <c r="C14" s="32"/>
      <c r="D14" s="33"/>
      <c r="E14" s="33"/>
      <c r="F14" s="33"/>
      <c r="G14" s="32"/>
      <c r="H14" s="34"/>
      <c r="I14" s="34"/>
      <c r="J14" s="34"/>
      <c r="K14" s="34"/>
      <c r="L14" s="35"/>
    </row>
    <row r="15" spans="1:12" ht="15.75" x14ac:dyDescent="0.25">
      <c r="A15" s="31"/>
      <c r="B15" s="32"/>
      <c r="C15" s="32"/>
      <c r="D15" s="33"/>
      <c r="E15" s="33"/>
      <c r="F15" s="33"/>
      <c r="G15" s="32"/>
      <c r="H15" s="34"/>
      <c r="I15" s="34"/>
      <c r="J15" s="34"/>
      <c r="K15" s="34"/>
      <c r="L15" s="35"/>
    </row>
    <row r="16" spans="1:12" ht="15.75" x14ac:dyDescent="0.25">
      <c r="A16" s="31"/>
      <c r="B16" s="32"/>
      <c r="C16" s="32"/>
      <c r="D16" s="33"/>
      <c r="E16" s="33"/>
      <c r="F16" s="33"/>
      <c r="G16" s="32"/>
      <c r="H16" s="34"/>
      <c r="I16" s="34"/>
      <c r="J16" s="34"/>
      <c r="K16" s="34"/>
      <c r="L16" s="35"/>
    </row>
    <row r="17" spans="1:12" ht="15.75" x14ac:dyDescent="0.25">
      <c r="A17" s="31"/>
      <c r="B17" s="32"/>
      <c r="C17" s="32"/>
      <c r="D17" s="33"/>
      <c r="E17" s="33"/>
      <c r="F17" s="33"/>
      <c r="G17" s="32"/>
      <c r="H17" s="34"/>
      <c r="I17" s="34"/>
      <c r="J17" s="34"/>
      <c r="K17" s="34"/>
      <c r="L17" s="35"/>
    </row>
    <row r="18" spans="1:12" ht="15.75" x14ac:dyDescent="0.25">
      <c r="A18" s="31"/>
      <c r="B18" s="32"/>
      <c r="C18" s="32"/>
      <c r="D18" s="33"/>
      <c r="E18" s="33"/>
      <c r="F18" s="33"/>
      <c r="G18" s="32"/>
      <c r="H18" s="34"/>
      <c r="I18" s="34"/>
      <c r="J18" s="34"/>
      <c r="K18" s="34"/>
      <c r="L18" s="35"/>
    </row>
    <row r="19" spans="1:12" ht="15.75" x14ac:dyDescent="0.25">
      <c r="A19" s="31"/>
      <c r="B19" s="32"/>
      <c r="C19" s="32"/>
      <c r="D19" s="33"/>
      <c r="E19" s="33"/>
      <c r="F19" s="33"/>
      <c r="G19" s="32"/>
      <c r="H19" s="34"/>
      <c r="I19" s="34"/>
      <c r="J19" s="34"/>
      <c r="K19" s="34"/>
      <c r="L19" s="35"/>
    </row>
    <row r="20" spans="1:12" ht="15.75" x14ac:dyDescent="0.25">
      <c r="A20" s="31"/>
      <c r="B20" s="32"/>
      <c r="C20" s="32"/>
      <c r="D20" s="33"/>
      <c r="E20" s="33"/>
      <c r="F20" s="33"/>
      <c r="G20" s="32"/>
      <c r="H20" s="34"/>
      <c r="I20" s="34"/>
      <c r="J20" s="34"/>
      <c r="K20" s="34"/>
      <c r="L20" s="35"/>
    </row>
    <row r="21" spans="1:12" ht="15.75" x14ac:dyDescent="0.25">
      <c r="A21" s="31"/>
      <c r="B21" s="32"/>
      <c r="C21" s="32"/>
      <c r="D21" s="33"/>
      <c r="E21" s="33"/>
      <c r="F21" s="33"/>
      <c r="G21" s="32"/>
      <c r="H21" s="34"/>
      <c r="I21" s="34"/>
      <c r="J21" s="34"/>
      <c r="K21" s="34"/>
      <c r="L21" s="35"/>
    </row>
    <row r="22" spans="1:12" ht="15.75" x14ac:dyDescent="0.25">
      <c r="A22" s="31"/>
      <c r="B22" s="32"/>
      <c r="C22" s="32"/>
      <c r="D22" s="33"/>
      <c r="E22" s="33"/>
      <c r="F22" s="33"/>
      <c r="G22" s="32"/>
      <c r="H22" s="34"/>
      <c r="I22" s="34"/>
      <c r="J22" s="34"/>
      <c r="K22" s="34"/>
      <c r="L22" s="35"/>
    </row>
    <row r="23" spans="1:12" ht="15.75" x14ac:dyDescent="0.25">
      <c r="A23" s="31"/>
      <c r="B23" s="32"/>
      <c r="C23" s="32"/>
      <c r="D23" s="33"/>
      <c r="E23" s="33"/>
      <c r="F23" s="33"/>
      <c r="G23" s="32"/>
      <c r="H23" s="34"/>
      <c r="I23" s="34"/>
      <c r="J23" s="34"/>
      <c r="K23" s="34"/>
      <c r="L23" s="35"/>
    </row>
    <row r="24" spans="1:12" ht="15.75" x14ac:dyDescent="0.25">
      <c r="A24" s="31"/>
      <c r="B24" s="32"/>
      <c r="C24" s="32"/>
      <c r="D24" s="33"/>
      <c r="E24" s="33"/>
      <c r="F24" s="33"/>
      <c r="G24" s="32"/>
      <c r="H24" s="34"/>
      <c r="I24" s="34"/>
      <c r="J24" s="34"/>
      <c r="K24" s="34"/>
      <c r="L24" s="35"/>
    </row>
    <row r="25" spans="1:12" ht="15.75" x14ac:dyDescent="0.25">
      <c r="A25" s="31"/>
      <c r="B25" s="32"/>
      <c r="C25" s="32"/>
      <c r="D25" s="33"/>
      <c r="E25" s="33"/>
      <c r="F25" s="33"/>
      <c r="G25" s="32"/>
      <c r="H25" s="34"/>
      <c r="I25" s="34"/>
      <c r="J25" s="34"/>
      <c r="K25" s="34"/>
      <c r="L25" s="35"/>
    </row>
    <row r="26" spans="1:12" ht="15.75" x14ac:dyDescent="0.25">
      <c r="A26" s="31"/>
      <c r="B26" s="32"/>
      <c r="C26" s="32"/>
      <c r="D26" s="33"/>
      <c r="E26" s="33"/>
      <c r="F26" s="33"/>
      <c r="G26" s="32"/>
      <c r="H26" s="34"/>
      <c r="I26" s="34"/>
      <c r="J26" s="34"/>
      <c r="K26" s="34"/>
      <c r="L26" s="35"/>
    </row>
    <row r="27" spans="1:12" ht="15.75" x14ac:dyDescent="0.25">
      <c r="A27" s="31"/>
      <c r="B27" s="32"/>
      <c r="C27" s="32"/>
      <c r="D27" s="33"/>
      <c r="E27" s="33"/>
      <c r="F27" s="33"/>
      <c r="G27" s="32"/>
      <c r="H27" s="34"/>
      <c r="I27" s="34"/>
      <c r="J27" s="34"/>
      <c r="K27" s="34"/>
      <c r="L27" s="35"/>
    </row>
    <row r="28" spans="1:12" ht="15.75" x14ac:dyDescent="0.25">
      <c r="A28" s="31"/>
      <c r="B28" s="32"/>
      <c r="C28" s="32"/>
      <c r="D28" s="33"/>
      <c r="E28" s="33"/>
      <c r="F28" s="33"/>
      <c r="G28" s="32"/>
      <c r="H28" s="34"/>
      <c r="I28" s="34"/>
      <c r="J28" s="34"/>
      <c r="K28" s="34"/>
      <c r="L28" s="35"/>
    </row>
    <row r="29" spans="1:12" ht="15.75" x14ac:dyDescent="0.25">
      <c r="A29" s="31"/>
      <c r="B29" s="32"/>
      <c r="C29" s="32"/>
      <c r="D29" s="33"/>
      <c r="E29" s="33"/>
      <c r="F29" s="33"/>
      <c r="G29" s="32"/>
      <c r="H29" s="34"/>
      <c r="I29" s="34"/>
      <c r="J29" s="34"/>
      <c r="K29" s="34"/>
      <c r="L29" s="35"/>
    </row>
    <row r="30" spans="1:12" ht="15.75" x14ac:dyDescent="0.25">
      <c r="A30" s="31"/>
      <c r="B30" s="32"/>
      <c r="C30" s="32"/>
      <c r="D30" s="33"/>
      <c r="E30" s="33"/>
      <c r="F30" s="33"/>
      <c r="G30" s="32"/>
      <c r="H30" s="34"/>
      <c r="I30" s="34"/>
      <c r="J30" s="34"/>
      <c r="K30" s="34"/>
      <c r="L30" s="35"/>
    </row>
    <row r="31" spans="1:12" ht="15.75" x14ac:dyDescent="0.25">
      <c r="A31" s="31"/>
      <c r="B31" s="32"/>
      <c r="C31" s="32"/>
      <c r="D31" s="33"/>
      <c r="E31" s="33"/>
      <c r="F31" s="33"/>
      <c r="G31" s="32"/>
      <c r="H31" s="34"/>
      <c r="I31" s="34"/>
      <c r="J31" s="34"/>
      <c r="K31" s="34"/>
      <c r="L31" s="35"/>
    </row>
    <row r="32" spans="1:12" ht="15.75" x14ac:dyDescent="0.25">
      <c r="A32" s="31"/>
      <c r="B32" s="32"/>
      <c r="C32" s="32"/>
      <c r="D32" s="33"/>
      <c r="E32" s="33"/>
      <c r="F32" s="33"/>
      <c r="G32" s="32"/>
      <c r="H32" s="34"/>
      <c r="I32" s="34"/>
      <c r="J32" s="34"/>
      <c r="K32" s="34"/>
      <c r="L32" s="35"/>
    </row>
    <row r="33" spans="1:12" ht="15.75" x14ac:dyDescent="0.25">
      <c r="A33" s="31"/>
      <c r="B33" s="32"/>
      <c r="C33" s="32"/>
      <c r="D33" s="33"/>
      <c r="E33" s="33"/>
      <c r="F33" s="33"/>
      <c r="G33" s="32"/>
      <c r="H33" s="34"/>
      <c r="I33" s="34"/>
      <c r="J33" s="34"/>
      <c r="K33" s="34"/>
      <c r="L33" s="35"/>
    </row>
    <row r="34" spans="1:12" ht="15.75" x14ac:dyDescent="0.25">
      <c r="A34" s="31"/>
      <c r="B34" s="32"/>
      <c r="C34" s="32"/>
      <c r="D34" s="33"/>
      <c r="E34" s="33"/>
      <c r="F34" s="33"/>
      <c r="G34" s="32"/>
      <c r="H34" s="34"/>
      <c r="I34" s="34"/>
      <c r="J34" s="34"/>
      <c r="K34" s="34"/>
      <c r="L34" s="35"/>
    </row>
    <row r="35" spans="1:12" ht="15.75" x14ac:dyDescent="0.25">
      <c r="A35" s="31"/>
      <c r="B35" s="32"/>
      <c r="C35" s="32"/>
      <c r="D35" s="33"/>
      <c r="E35" s="33"/>
      <c r="F35" s="33"/>
      <c r="G35" s="32"/>
      <c r="H35" s="34"/>
      <c r="I35" s="34"/>
      <c r="J35" s="34"/>
      <c r="K35" s="34"/>
      <c r="L35" s="35"/>
    </row>
    <row r="36" spans="1:12" ht="15.75" x14ac:dyDescent="0.25">
      <c r="A36" s="31"/>
      <c r="B36" s="32"/>
      <c r="C36" s="32"/>
      <c r="D36" s="33"/>
      <c r="E36" s="33"/>
      <c r="F36" s="33"/>
      <c r="G36" s="32"/>
      <c r="H36" s="34"/>
      <c r="I36" s="34"/>
      <c r="J36" s="34"/>
      <c r="K36" s="34"/>
      <c r="L36" s="35"/>
    </row>
    <row r="37" spans="1:12" ht="15.75" x14ac:dyDescent="0.25">
      <c r="A37" s="31"/>
      <c r="B37" s="32"/>
      <c r="C37" s="32"/>
      <c r="D37" s="33"/>
      <c r="E37" s="33"/>
      <c r="F37" s="33"/>
      <c r="G37" s="32"/>
      <c r="H37" s="34"/>
      <c r="I37" s="34"/>
      <c r="J37" s="34"/>
      <c r="K37" s="34"/>
      <c r="L37" s="35"/>
    </row>
    <row r="38" spans="1:12" ht="15.75" x14ac:dyDescent="0.25">
      <c r="A38" s="31"/>
      <c r="B38" s="32"/>
      <c r="C38" s="32"/>
      <c r="D38" s="33"/>
      <c r="E38" s="33"/>
      <c r="F38" s="33"/>
      <c r="G38" s="32"/>
      <c r="H38" s="34"/>
      <c r="I38" s="34"/>
      <c r="J38" s="34"/>
      <c r="K38" s="34"/>
      <c r="L38" s="35"/>
    </row>
    <row r="39" spans="1:12" ht="15.75" x14ac:dyDescent="0.25">
      <c r="A39" s="31"/>
      <c r="B39" s="32"/>
      <c r="C39" s="32"/>
      <c r="D39" s="33"/>
      <c r="E39" s="33"/>
      <c r="F39" s="33"/>
      <c r="G39" s="32"/>
      <c r="H39" s="34"/>
      <c r="I39" s="34"/>
      <c r="J39" s="34"/>
      <c r="K39" s="34"/>
      <c r="L39" s="35"/>
    </row>
    <row r="40" spans="1:12" ht="15.75" x14ac:dyDescent="0.25">
      <c r="A40" s="31"/>
      <c r="B40" s="32"/>
      <c r="C40" s="32"/>
      <c r="D40" s="33"/>
      <c r="E40" s="33"/>
      <c r="F40" s="33"/>
      <c r="G40" s="32"/>
      <c r="H40" s="34"/>
      <c r="I40" s="34"/>
      <c r="J40" s="34"/>
      <c r="K40" s="34"/>
      <c r="L40" s="35"/>
    </row>
    <row r="41" spans="1:12" ht="15.75" x14ac:dyDescent="0.25">
      <c r="A41" s="31"/>
      <c r="B41" s="32"/>
      <c r="C41" s="32"/>
      <c r="D41" s="33"/>
      <c r="E41" s="33"/>
      <c r="F41" s="33"/>
      <c r="G41" s="32"/>
      <c r="H41" s="34"/>
      <c r="I41" s="34"/>
      <c r="J41" s="34"/>
      <c r="K41" s="34"/>
      <c r="L41" s="35"/>
    </row>
    <row r="42" spans="1:12" ht="15.75" x14ac:dyDescent="0.25">
      <c r="A42" s="31"/>
      <c r="B42" s="32"/>
      <c r="C42" s="32"/>
      <c r="D42" s="33"/>
      <c r="E42" s="33"/>
      <c r="F42" s="33"/>
      <c r="G42" s="32"/>
      <c r="H42" s="34"/>
      <c r="I42" s="34"/>
      <c r="J42" s="34"/>
      <c r="K42" s="34"/>
      <c r="L42" s="35"/>
    </row>
    <row r="43" spans="1:12" ht="15.75" x14ac:dyDescent="0.25">
      <c r="A43" s="31"/>
      <c r="B43" s="32"/>
      <c r="C43" s="32"/>
      <c r="D43" s="33"/>
      <c r="E43" s="33"/>
      <c r="F43" s="33"/>
      <c r="G43" s="32"/>
      <c r="H43" s="34"/>
      <c r="I43" s="34"/>
      <c r="J43" s="34"/>
      <c r="K43" s="34"/>
      <c r="L43" s="35"/>
    </row>
    <row r="44" spans="1:12" ht="15.75" x14ac:dyDescent="0.25">
      <c r="A44" s="31"/>
      <c r="B44" s="32"/>
      <c r="C44" s="32"/>
      <c r="D44" s="33"/>
      <c r="E44" s="33"/>
      <c r="F44" s="33"/>
      <c r="G44" s="32"/>
      <c r="H44" s="34"/>
      <c r="I44" s="34"/>
      <c r="J44" s="34"/>
      <c r="K44" s="34"/>
      <c r="L44" s="35"/>
    </row>
    <row r="45" spans="1:12" ht="15.75" x14ac:dyDescent="0.25">
      <c r="A45" s="31"/>
      <c r="B45" s="32"/>
      <c r="C45" s="32"/>
      <c r="D45" s="33"/>
      <c r="E45" s="33"/>
      <c r="F45" s="33"/>
      <c r="G45" s="32"/>
      <c r="H45" s="34"/>
      <c r="I45" s="34"/>
      <c r="J45" s="34"/>
      <c r="K45" s="34"/>
      <c r="L45" s="35"/>
    </row>
    <row r="46" spans="1:12" ht="15.75" x14ac:dyDescent="0.25">
      <c r="A46" s="31"/>
      <c r="B46" s="32"/>
      <c r="C46" s="32"/>
      <c r="D46" s="33"/>
      <c r="E46" s="33"/>
      <c r="F46" s="33"/>
      <c r="G46" s="32"/>
      <c r="H46" s="34"/>
      <c r="I46" s="34"/>
      <c r="J46" s="34"/>
      <c r="K46" s="34"/>
      <c r="L46" s="35"/>
    </row>
    <row r="47" spans="1:12" ht="15.75" x14ac:dyDescent="0.25">
      <c r="A47" s="31"/>
      <c r="B47" s="32"/>
      <c r="C47" s="32"/>
      <c r="D47" s="33"/>
      <c r="E47" s="33"/>
      <c r="F47" s="33"/>
      <c r="G47" s="32"/>
      <c r="H47" s="34"/>
      <c r="I47" s="34"/>
      <c r="J47" s="34"/>
      <c r="K47" s="34"/>
      <c r="L47" s="35"/>
    </row>
    <row r="48" spans="1:12" ht="15.75" x14ac:dyDescent="0.25">
      <c r="A48" s="31"/>
      <c r="B48" s="32"/>
      <c r="C48" s="32"/>
      <c r="D48" s="33"/>
      <c r="E48" s="33"/>
      <c r="F48" s="33"/>
      <c r="G48" s="32"/>
      <c r="H48" s="34"/>
      <c r="I48" s="34"/>
      <c r="J48" s="34"/>
      <c r="K48" s="34"/>
      <c r="L48" s="35"/>
    </row>
    <row r="49" spans="1:12" ht="15.75" x14ac:dyDescent="0.25">
      <c r="A49" s="31"/>
      <c r="B49" s="32"/>
      <c r="C49" s="32"/>
      <c r="D49" s="33"/>
      <c r="E49" s="33"/>
      <c r="F49" s="33"/>
      <c r="G49" s="32"/>
      <c r="H49" s="34"/>
      <c r="I49" s="34"/>
      <c r="J49" s="34"/>
      <c r="K49" s="34"/>
      <c r="L49" s="35"/>
    </row>
    <row r="50" spans="1:12" ht="15.75" x14ac:dyDescent="0.25">
      <c r="A50" s="31"/>
      <c r="B50" s="32"/>
      <c r="C50" s="32"/>
      <c r="D50" s="33"/>
      <c r="E50" s="33"/>
      <c r="F50" s="33"/>
      <c r="G50" s="32"/>
      <c r="H50" s="34"/>
      <c r="I50" s="34"/>
      <c r="J50" s="34"/>
      <c r="K50" s="34"/>
      <c r="L50" s="35"/>
    </row>
    <row r="51" spans="1:12" ht="15.75" x14ac:dyDescent="0.25">
      <c r="A51" s="31"/>
      <c r="B51" s="32"/>
      <c r="C51" s="32"/>
      <c r="D51" s="33"/>
      <c r="E51" s="33"/>
      <c r="F51" s="33"/>
      <c r="G51" s="32"/>
      <c r="H51" s="34"/>
      <c r="I51" s="34"/>
      <c r="J51" s="34"/>
      <c r="K51" s="34"/>
      <c r="L51" s="35"/>
    </row>
    <row r="52" spans="1:12" ht="15.75" x14ac:dyDescent="0.25">
      <c r="A52" s="31"/>
      <c r="B52" s="32"/>
      <c r="C52" s="32"/>
      <c r="D52" s="33"/>
      <c r="E52" s="33"/>
      <c r="F52" s="33"/>
      <c r="G52" s="32"/>
      <c r="H52" s="34"/>
      <c r="I52" s="34"/>
      <c r="J52" s="34"/>
      <c r="K52" s="34"/>
      <c r="L52" s="35"/>
    </row>
    <row r="53" spans="1:12" ht="15.75" x14ac:dyDescent="0.25">
      <c r="A53" s="31"/>
      <c r="B53" s="32"/>
      <c r="C53" s="32"/>
      <c r="D53" s="33"/>
      <c r="E53" s="33"/>
      <c r="F53" s="33"/>
      <c r="G53" s="32"/>
      <c r="H53" s="34"/>
      <c r="I53" s="34"/>
      <c r="J53" s="34"/>
      <c r="K53" s="34"/>
      <c r="L53" s="35"/>
    </row>
    <row r="54" spans="1:12" ht="15.75" x14ac:dyDescent="0.25">
      <c r="A54" s="31"/>
      <c r="B54" s="32"/>
      <c r="C54" s="32"/>
      <c r="D54" s="33"/>
      <c r="E54" s="33"/>
      <c r="F54" s="33"/>
      <c r="G54" s="32"/>
      <c r="H54" s="34"/>
      <c r="I54" s="34"/>
      <c r="J54" s="34"/>
      <c r="K54" s="34"/>
      <c r="L54" s="35"/>
    </row>
    <row r="55" spans="1:12" ht="15.75" x14ac:dyDescent="0.25">
      <c r="A55" s="31"/>
      <c r="B55" s="32"/>
      <c r="C55" s="32"/>
      <c r="D55" s="33"/>
      <c r="E55" s="33"/>
      <c r="F55" s="33"/>
      <c r="G55" s="32"/>
      <c r="H55" s="34"/>
      <c r="I55" s="34"/>
      <c r="J55" s="34"/>
      <c r="K55" s="34"/>
      <c r="L55" s="35"/>
    </row>
    <row r="56" spans="1:12" ht="15.75" x14ac:dyDescent="0.25">
      <c r="A56" s="31"/>
      <c r="B56" s="32"/>
      <c r="C56" s="32"/>
      <c r="D56" s="33"/>
      <c r="E56" s="33"/>
      <c r="F56" s="33"/>
      <c r="G56" s="32"/>
      <c r="H56" s="34"/>
      <c r="I56" s="34"/>
      <c r="J56" s="34"/>
      <c r="K56" s="34"/>
      <c r="L56" s="35"/>
    </row>
    <row r="57" spans="1:12" ht="15.75" x14ac:dyDescent="0.25">
      <c r="A57" s="31"/>
      <c r="B57" s="32"/>
      <c r="C57" s="32"/>
      <c r="D57" s="33"/>
      <c r="E57" s="33"/>
      <c r="F57" s="33"/>
      <c r="G57" s="32"/>
      <c r="H57" s="34"/>
      <c r="I57" s="34"/>
      <c r="J57" s="34"/>
      <c r="K57" s="34"/>
      <c r="L57" s="35"/>
    </row>
    <row r="58" spans="1:12" ht="15.75" x14ac:dyDescent="0.25">
      <c r="A58" s="31"/>
      <c r="B58" s="32"/>
      <c r="C58" s="32"/>
      <c r="D58" s="33"/>
      <c r="E58" s="33"/>
      <c r="F58" s="33"/>
      <c r="G58" s="32"/>
      <c r="H58" s="34"/>
      <c r="I58" s="34"/>
      <c r="J58" s="34"/>
      <c r="K58" s="34"/>
      <c r="L58" s="35"/>
    </row>
    <row r="59" spans="1:12" ht="15.75" x14ac:dyDescent="0.25">
      <c r="A59" s="31"/>
      <c r="B59" s="32"/>
      <c r="C59" s="32"/>
      <c r="D59" s="33"/>
      <c r="E59" s="33"/>
      <c r="F59" s="33"/>
      <c r="G59" s="32"/>
      <c r="H59" s="34"/>
      <c r="I59" s="34"/>
      <c r="J59" s="34"/>
      <c r="K59" s="34"/>
      <c r="L59" s="35"/>
    </row>
    <row r="60" spans="1:12" ht="15.75" x14ac:dyDescent="0.25">
      <c r="A60" s="31"/>
      <c r="B60" s="32"/>
      <c r="C60" s="32"/>
      <c r="D60" s="33"/>
      <c r="E60" s="33"/>
      <c r="F60" s="33"/>
      <c r="G60" s="32"/>
      <c r="H60" s="34"/>
      <c r="I60" s="34"/>
      <c r="J60" s="34"/>
      <c r="K60" s="34"/>
      <c r="L60" s="35"/>
    </row>
    <row r="61" spans="1:12" ht="15.75" x14ac:dyDescent="0.25">
      <c r="A61" s="31"/>
      <c r="B61" s="32"/>
      <c r="C61" s="32"/>
      <c r="D61" s="33"/>
      <c r="E61" s="33"/>
      <c r="F61" s="33"/>
      <c r="G61" s="32"/>
      <c r="H61" s="34"/>
      <c r="I61" s="34"/>
      <c r="J61" s="34"/>
      <c r="K61" s="34"/>
      <c r="L61" s="35"/>
    </row>
    <row r="62" spans="1:12" ht="15.75" x14ac:dyDescent="0.25">
      <c r="A62" s="31"/>
      <c r="B62" s="32"/>
      <c r="C62" s="32"/>
      <c r="D62" s="33"/>
      <c r="E62" s="33"/>
      <c r="F62" s="33"/>
      <c r="G62" s="32"/>
      <c r="H62" s="34"/>
      <c r="I62" s="34"/>
      <c r="J62" s="34"/>
      <c r="K62" s="34"/>
      <c r="L62" s="35"/>
    </row>
    <row r="63" spans="1:12" ht="15.75" x14ac:dyDescent="0.25">
      <c r="A63" s="31"/>
      <c r="B63" s="32"/>
      <c r="C63" s="32"/>
      <c r="D63" s="33"/>
      <c r="E63" s="33"/>
      <c r="F63" s="33"/>
      <c r="G63" s="32"/>
      <c r="H63" s="34"/>
      <c r="I63" s="34"/>
      <c r="J63" s="34"/>
      <c r="K63" s="34"/>
      <c r="L63" s="35"/>
    </row>
    <row r="64" spans="1:12" ht="15.75" x14ac:dyDescent="0.25">
      <c r="A64" s="31"/>
      <c r="B64" s="32"/>
      <c r="C64" s="32"/>
      <c r="D64" s="33"/>
      <c r="E64" s="33"/>
      <c r="F64" s="33"/>
      <c r="G64" s="32"/>
      <c r="H64" s="34"/>
      <c r="I64" s="34"/>
      <c r="J64" s="34"/>
      <c r="K64" s="34"/>
      <c r="L64" s="35"/>
    </row>
    <row r="65" spans="1:12" ht="15.75" x14ac:dyDescent="0.25">
      <c r="A65" s="31"/>
      <c r="B65" s="32"/>
      <c r="C65" s="32"/>
      <c r="D65" s="33"/>
      <c r="E65" s="33"/>
      <c r="F65" s="33"/>
      <c r="G65" s="32"/>
      <c r="H65" s="34"/>
      <c r="I65" s="34"/>
      <c r="J65" s="34"/>
      <c r="K65" s="34"/>
      <c r="L65" s="35"/>
    </row>
    <row r="66" spans="1:12" ht="15.75" x14ac:dyDescent="0.25">
      <c r="A66" s="31"/>
      <c r="B66" s="32"/>
      <c r="C66" s="32"/>
      <c r="D66" s="33"/>
      <c r="E66" s="33"/>
      <c r="F66" s="33"/>
      <c r="G66" s="32"/>
      <c r="H66" s="34"/>
      <c r="I66" s="34"/>
      <c r="J66" s="34"/>
      <c r="K66" s="34"/>
      <c r="L66" s="35"/>
    </row>
    <row r="67" spans="1:12" ht="15.75" x14ac:dyDescent="0.25">
      <c r="A67" s="31"/>
      <c r="B67" s="32"/>
      <c r="C67" s="32"/>
      <c r="D67" s="33"/>
      <c r="E67" s="33"/>
      <c r="F67" s="33"/>
      <c r="G67" s="32"/>
      <c r="H67" s="34"/>
      <c r="I67" s="34"/>
      <c r="J67" s="34"/>
      <c r="K67" s="34"/>
      <c r="L67" s="35"/>
    </row>
    <row r="68" spans="1:12" ht="15.75" x14ac:dyDescent="0.25">
      <c r="A68" s="31"/>
      <c r="B68" s="32"/>
      <c r="C68" s="32"/>
      <c r="D68" s="33"/>
      <c r="E68" s="33"/>
      <c r="F68" s="33"/>
      <c r="G68" s="32"/>
      <c r="H68" s="34"/>
      <c r="I68" s="34"/>
      <c r="J68" s="34"/>
      <c r="K68" s="34"/>
      <c r="L68" s="35"/>
    </row>
    <row r="69" spans="1:12" ht="15.75" x14ac:dyDescent="0.25">
      <c r="A69" s="31"/>
      <c r="B69" s="32"/>
      <c r="C69" s="32"/>
      <c r="D69" s="33"/>
      <c r="E69" s="33"/>
      <c r="F69" s="33"/>
      <c r="G69" s="32"/>
      <c r="H69" s="34"/>
      <c r="I69" s="34"/>
      <c r="J69" s="34"/>
      <c r="K69" s="34"/>
      <c r="L69" s="35"/>
    </row>
    <row r="70" spans="1:12" ht="15.75" x14ac:dyDescent="0.25">
      <c r="A70" s="31"/>
      <c r="B70" s="32"/>
      <c r="C70" s="32"/>
      <c r="D70" s="33"/>
      <c r="E70" s="33"/>
      <c r="F70" s="33"/>
      <c r="G70" s="32"/>
      <c r="H70" s="34"/>
      <c r="I70" s="34"/>
      <c r="J70" s="34"/>
      <c r="K70" s="34"/>
      <c r="L70" s="35"/>
    </row>
    <row r="71" spans="1:12" ht="15.75" x14ac:dyDescent="0.25">
      <c r="A71" s="31"/>
      <c r="B71" s="32"/>
      <c r="C71" s="32"/>
      <c r="D71" s="33"/>
      <c r="E71" s="33"/>
      <c r="F71" s="33"/>
      <c r="G71" s="32"/>
      <c r="H71" s="34"/>
      <c r="I71" s="34"/>
      <c r="J71" s="34"/>
      <c r="K71" s="34"/>
      <c r="L71" s="35"/>
    </row>
    <row r="72" spans="1:12" ht="15.75" x14ac:dyDescent="0.25">
      <c r="A72" s="31"/>
      <c r="B72" s="32"/>
      <c r="C72" s="32"/>
      <c r="D72" s="33"/>
      <c r="E72" s="33"/>
      <c r="F72" s="33"/>
      <c r="G72" s="32"/>
      <c r="H72" s="34"/>
      <c r="I72" s="34"/>
      <c r="J72" s="34"/>
      <c r="K72" s="34"/>
      <c r="L72" s="35"/>
    </row>
    <row r="73" spans="1:12" ht="15.75" x14ac:dyDescent="0.25">
      <c r="A73" s="31"/>
      <c r="B73" s="32"/>
      <c r="C73" s="32"/>
      <c r="D73" s="33"/>
      <c r="E73" s="33"/>
      <c r="F73" s="33"/>
      <c r="G73" s="32"/>
      <c r="H73" s="34"/>
      <c r="I73" s="34"/>
      <c r="J73" s="34"/>
      <c r="K73" s="34"/>
      <c r="L73" s="35"/>
    </row>
    <row r="74" spans="1:12" ht="15.75" x14ac:dyDescent="0.25">
      <c r="A74" s="31"/>
      <c r="B74" s="32"/>
      <c r="C74" s="32"/>
      <c r="D74" s="33"/>
      <c r="E74" s="33"/>
      <c r="F74" s="33"/>
      <c r="G74" s="32"/>
      <c r="H74" s="34"/>
      <c r="I74" s="34"/>
      <c r="J74" s="34"/>
      <c r="K74" s="34"/>
      <c r="L74" s="35"/>
    </row>
    <row r="75" spans="1:12" ht="15.75" x14ac:dyDescent="0.25">
      <c r="A75" s="31"/>
      <c r="B75" s="32"/>
      <c r="C75" s="32"/>
      <c r="D75" s="33"/>
      <c r="E75" s="33"/>
      <c r="F75" s="33"/>
      <c r="G75" s="32"/>
      <c r="H75" s="34"/>
      <c r="I75" s="34"/>
      <c r="J75" s="34"/>
      <c r="K75" s="34"/>
      <c r="L75" s="35"/>
    </row>
    <row r="76" spans="1:12" ht="15.75" x14ac:dyDescent="0.25">
      <c r="A76" s="31"/>
      <c r="B76" s="32"/>
      <c r="C76" s="32"/>
      <c r="D76" s="33"/>
      <c r="E76" s="33"/>
      <c r="F76" s="33"/>
      <c r="G76" s="32"/>
      <c r="H76" s="34"/>
      <c r="I76" s="34"/>
      <c r="J76" s="34"/>
      <c r="K76" s="34"/>
      <c r="L76" s="35"/>
    </row>
    <row r="77" spans="1:12" ht="15.75" x14ac:dyDescent="0.25">
      <c r="A77" s="31"/>
      <c r="B77" s="32"/>
      <c r="C77" s="32"/>
      <c r="D77" s="33"/>
      <c r="E77" s="33"/>
      <c r="F77" s="33"/>
      <c r="G77" s="32"/>
      <c r="H77" s="34"/>
      <c r="I77" s="34"/>
      <c r="J77" s="34"/>
      <c r="K77" s="34"/>
      <c r="L77" s="35"/>
    </row>
    <row r="78" spans="1:12" ht="15.75" x14ac:dyDescent="0.25">
      <c r="A78" s="31"/>
      <c r="B78" s="32"/>
      <c r="C78" s="32"/>
      <c r="D78" s="33"/>
      <c r="E78" s="33"/>
      <c r="F78" s="33"/>
      <c r="G78" s="32"/>
      <c r="H78" s="34"/>
      <c r="I78" s="34"/>
      <c r="J78" s="34"/>
      <c r="K78" s="34"/>
      <c r="L78" s="35"/>
    </row>
    <row r="79" spans="1:12" ht="15.75" x14ac:dyDescent="0.25">
      <c r="A79" s="31"/>
      <c r="B79" s="32"/>
      <c r="C79" s="32"/>
      <c r="D79" s="33"/>
      <c r="E79" s="33"/>
      <c r="F79" s="33"/>
      <c r="G79" s="32"/>
      <c r="H79" s="34"/>
      <c r="I79" s="34"/>
      <c r="J79" s="34"/>
      <c r="K79" s="34"/>
      <c r="L79" s="35"/>
    </row>
    <row r="80" spans="1:12" ht="15.75" x14ac:dyDescent="0.25">
      <c r="A80" s="31"/>
      <c r="B80" s="32"/>
      <c r="C80" s="32"/>
      <c r="D80" s="33"/>
      <c r="E80" s="33"/>
      <c r="F80" s="33"/>
      <c r="G80" s="32"/>
      <c r="H80" s="36"/>
      <c r="I80" s="37"/>
      <c r="J80" s="37"/>
      <c r="K80" s="37"/>
      <c r="L80" s="38"/>
    </row>
    <row r="81" spans="1:12" ht="15.75" x14ac:dyDescent="0.25">
      <c r="A81" s="31"/>
      <c r="B81" s="32"/>
      <c r="C81" s="32"/>
      <c r="D81" s="33"/>
      <c r="E81" s="33"/>
      <c r="F81" s="33"/>
      <c r="G81" s="32"/>
      <c r="H81" s="36"/>
      <c r="I81" s="37"/>
      <c r="J81" s="37"/>
      <c r="K81" s="37"/>
      <c r="L81" s="38"/>
    </row>
    <row r="82" spans="1:12" ht="15.75" x14ac:dyDescent="0.25">
      <c r="A82" s="31"/>
      <c r="B82" s="32"/>
      <c r="C82" s="32"/>
      <c r="D82" s="33"/>
      <c r="E82" s="33"/>
      <c r="F82" s="33"/>
      <c r="G82" s="32"/>
      <c r="H82" s="36"/>
      <c r="I82" s="37"/>
      <c r="J82" s="37"/>
      <c r="K82" s="37"/>
      <c r="L82" s="38"/>
    </row>
    <row r="83" spans="1:12" ht="15.75" x14ac:dyDescent="0.25">
      <c r="A83" s="31"/>
      <c r="B83" s="32"/>
      <c r="C83" s="32"/>
      <c r="D83" s="33"/>
      <c r="E83" s="33"/>
      <c r="F83" s="33"/>
      <c r="G83" s="32"/>
      <c r="H83" s="36"/>
      <c r="I83" s="37"/>
      <c r="J83" s="37"/>
      <c r="K83" s="37"/>
      <c r="L83" s="38"/>
    </row>
    <row r="84" spans="1:12" ht="15.75" x14ac:dyDescent="0.25">
      <c r="A84" s="31"/>
      <c r="B84" s="32"/>
      <c r="C84" s="32"/>
      <c r="D84" s="33"/>
      <c r="E84" s="33"/>
      <c r="F84" s="33"/>
      <c r="G84" s="32"/>
      <c r="H84" s="36"/>
      <c r="I84" s="37"/>
      <c r="J84" s="37"/>
      <c r="K84" s="37"/>
      <c r="L84" s="38"/>
    </row>
    <row r="85" spans="1:12" ht="15.75" x14ac:dyDescent="0.25">
      <c r="A85" s="31"/>
      <c r="B85" s="32"/>
      <c r="C85" s="32"/>
      <c r="D85" s="33"/>
      <c r="E85" s="33"/>
      <c r="F85" s="33"/>
      <c r="G85" s="32"/>
      <c r="H85" s="36"/>
      <c r="I85" s="37"/>
      <c r="J85" s="37"/>
      <c r="K85" s="37"/>
      <c r="L85" s="38"/>
    </row>
    <row r="86" spans="1:12" ht="15.75" x14ac:dyDescent="0.25">
      <c r="A86" s="31"/>
      <c r="B86" s="32"/>
      <c r="C86" s="32"/>
      <c r="D86" s="33"/>
      <c r="E86" s="33"/>
      <c r="F86" s="33"/>
      <c r="G86" s="32"/>
      <c r="H86" s="36"/>
      <c r="I86" s="37"/>
      <c r="J86" s="37"/>
      <c r="K86" s="37"/>
      <c r="L86" s="38"/>
    </row>
    <row r="87" spans="1:12" ht="15.75" x14ac:dyDescent="0.25">
      <c r="A87" s="31"/>
      <c r="B87" s="32"/>
      <c r="C87" s="32"/>
      <c r="D87" s="33"/>
      <c r="E87" s="33"/>
      <c r="F87" s="33"/>
      <c r="G87" s="32"/>
      <c r="H87" s="36"/>
      <c r="I87" s="37"/>
      <c r="J87" s="37"/>
      <c r="K87" s="37"/>
      <c r="L87" s="38"/>
    </row>
    <row r="88" spans="1:12" ht="15.75" x14ac:dyDescent="0.25">
      <c r="A88" s="31"/>
      <c r="B88" s="32"/>
      <c r="C88" s="32"/>
      <c r="D88" s="33"/>
      <c r="E88" s="33"/>
      <c r="F88" s="33"/>
      <c r="G88" s="32"/>
      <c r="H88" s="36"/>
      <c r="I88" s="37"/>
      <c r="J88" s="37"/>
      <c r="K88" s="37"/>
      <c r="L88" s="38"/>
    </row>
    <row r="89" spans="1:12" ht="15.75" x14ac:dyDescent="0.25">
      <c r="A89" s="31"/>
      <c r="B89" s="32"/>
      <c r="C89" s="32"/>
      <c r="D89" s="33"/>
      <c r="E89" s="33"/>
      <c r="F89" s="33"/>
      <c r="G89" s="32"/>
      <c r="H89" s="36"/>
      <c r="I89" s="37"/>
      <c r="J89" s="37"/>
      <c r="K89" s="37"/>
      <c r="L89" s="38"/>
    </row>
    <row r="90" spans="1:12" ht="15.75" x14ac:dyDescent="0.25">
      <c r="A90" s="31"/>
      <c r="B90" s="32"/>
      <c r="C90" s="32"/>
      <c r="D90" s="33"/>
      <c r="E90" s="33"/>
      <c r="F90" s="33"/>
      <c r="G90" s="32"/>
      <c r="H90" s="36"/>
      <c r="I90" s="37"/>
      <c r="J90" s="37"/>
      <c r="K90" s="37"/>
      <c r="L90" s="38"/>
    </row>
    <row r="91" spans="1:12" ht="15.75" x14ac:dyDescent="0.25">
      <c r="A91" s="31"/>
      <c r="B91" s="32"/>
      <c r="C91" s="32"/>
      <c r="D91" s="33"/>
      <c r="E91" s="33"/>
      <c r="F91" s="33"/>
      <c r="G91" s="32"/>
      <c r="H91" s="36"/>
      <c r="I91" s="37"/>
      <c r="J91" s="37"/>
      <c r="K91" s="37"/>
      <c r="L91" s="38"/>
    </row>
    <row r="92" spans="1:12" ht="15.75" x14ac:dyDescent="0.25">
      <c r="A92" s="31"/>
      <c r="B92" s="32"/>
      <c r="C92" s="32"/>
      <c r="D92" s="33"/>
      <c r="E92" s="33"/>
      <c r="F92" s="33"/>
      <c r="G92" s="32"/>
      <c r="H92" s="36"/>
      <c r="I92" s="37"/>
      <c r="J92" s="37"/>
      <c r="K92" s="37"/>
      <c r="L92" s="38"/>
    </row>
    <row r="93" spans="1:12" ht="15.75" x14ac:dyDescent="0.25">
      <c r="A93" s="31"/>
      <c r="B93" s="32"/>
      <c r="C93" s="32"/>
      <c r="D93" s="33"/>
      <c r="E93" s="33"/>
      <c r="F93" s="33"/>
      <c r="G93" s="32"/>
      <c r="H93" s="36"/>
      <c r="I93" s="37"/>
      <c r="J93" s="37"/>
      <c r="K93" s="37"/>
      <c r="L93" s="38"/>
    </row>
    <row r="94" spans="1:12" ht="15.75" x14ac:dyDescent="0.25">
      <c r="A94" s="31"/>
      <c r="B94" s="32"/>
      <c r="C94" s="32"/>
      <c r="D94" s="33"/>
      <c r="E94" s="33"/>
      <c r="F94" s="33"/>
      <c r="G94" s="32"/>
      <c r="H94" s="36"/>
      <c r="I94" s="37"/>
      <c r="J94" s="37"/>
      <c r="K94" s="37"/>
      <c r="L94" s="38"/>
    </row>
    <row r="95" spans="1:12" ht="15.75" x14ac:dyDescent="0.25">
      <c r="A95" s="31"/>
      <c r="B95" s="32"/>
      <c r="C95" s="32"/>
      <c r="D95" s="33"/>
      <c r="E95" s="33"/>
      <c r="F95" s="33"/>
      <c r="G95" s="32"/>
      <c r="H95" s="36"/>
      <c r="I95" s="37"/>
      <c r="J95" s="37"/>
      <c r="K95" s="37"/>
      <c r="L95" s="38"/>
    </row>
    <row r="96" spans="1:12" ht="15.75" x14ac:dyDescent="0.25">
      <c r="A96" s="31"/>
      <c r="B96" s="32"/>
      <c r="C96" s="32"/>
      <c r="D96" s="33"/>
      <c r="E96" s="33"/>
      <c r="F96" s="33"/>
      <c r="G96" s="32"/>
      <c r="H96" s="36"/>
      <c r="I96" s="37"/>
      <c r="J96" s="37"/>
      <c r="K96" s="37"/>
      <c r="L96" s="38"/>
    </row>
    <row r="97" spans="1:12" ht="15.75" x14ac:dyDescent="0.25">
      <c r="A97" s="31"/>
      <c r="B97" s="32"/>
      <c r="C97" s="32"/>
      <c r="D97" s="33"/>
      <c r="E97" s="33"/>
      <c r="F97" s="33"/>
      <c r="G97" s="32"/>
      <c r="H97" s="36"/>
      <c r="I97" s="37"/>
      <c r="J97" s="37"/>
      <c r="K97" s="37"/>
      <c r="L97" s="38"/>
    </row>
    <row r="98" spans="1:12" ht="15.75" x14ac:dyDescent="0.25">
      <c r="A98" s="31"/>
      <c r="B98" s="32"/>
      <c r="C98" s="32"/>
      <c r="D98" s="33"/>
      <c r="E98" s="33"/>
      <c r="F98" s="33"/>
      <c r="G98" s="32"/>
      <c r="H98" s="36"/>
      <c r="I98" s="37"/>
      <c r="J98" s="37"/>
      <c r="K98" s="37"/>
      <c r="L98" s="38"/>
    </row>
    <row r="99" spans="1:12" ht="15.75" x14ac:dyDescent="0.25">
      <c r="A99" s="31"/>
      <c r="B99" s="32"/>
      <c r="C99" s="32"/>
      <c r="D99" s="33"/>
      <c r="E99" s="33"/>
      <c r="F99" s="33"/>
      <c r="G99" s="32"/>
      <c r="H99" s="36"/>
      <c r="I99" s="37"/>
      <c r="J99" s="37"/>
      <c r="K99" s="37"/>
      <c r="L99" s="38"/>
    </row>
    <row r="100" spans="1:12" ht="15.75" x14ac:dyDescent="0.25">
      <c r="A100" s="31"/>
      <c r="B100" s="32"/>
      <c r="C100" s="32"/>
      <c r="D100" s="33"/>
      <c r="E100" s="33"/>
      <c r="F100" s="33"/>
      <c r="G100" s="32"/>
      <c r="H100" s="36"/>
      <c r="I100" s="37"/>
      <c r="J100" s="37"/>
      <c r="K100" s="37"/>
      <c r="L100" s="38"/>
    </row>
    <row r="101" spans="1:12" ht="15.75" x14ac:dyDescent="0.25">
      <c r="A101" s="31"/>
      <c r="B101" s="32"/>
      <c r="C101" s="32"/>
      <c r="D101" s="33"/>
      <c r="E101" s="33"/>
      <c r="F101" s="33"/>
      <c r="G101" s="32"/>
      <c r="H101" s="36"/>
      <c r="I101" s="37"/>
      <c r="J101" s="37"/>
      <c r="K101" s="37"/>
      <c r="L101" s="38"/>
    </row>
    <row r="102" spans="1:12" ht="15.75" x14ac:dyDescent="0.25">
      <c r="A102" s="31"/>
      <c r="B102" s="32"/>
      <c r="C102" s="32"/>
      <c r="D102" s="33"/>
      <c r="E102" s="33"/>
      <c r="F102" s="33"/>
      <c r="G102" s="32"/>
      <c r="H102" s="36"/>
      <c r="I102" s="37"/>
      <c r="J102" s="37"/>
      <c r="K102" s="37"/>
      <c r="L102" s="38"/>
    </row>
    <row r="103" spans="1:12" ht="15.75" x14ac:dyDescent="0.25">
      <c r="A103" s="31"/>
      <c r="B103" s="32"/>
      <c r="C103" s="32"/>
      <c r="D103" s="33"/>
      <c r="E103" s="33"/>
      <c r="F103" s="33"/>
      <c r="G103" s="32"/>
      <c r="H103" s="36"/>
      <c r="I103" s="37"/>
      <c r="J103" s="37"/>
      <c r="K103" s="37"/>
      <c r="L103" s="38"/>
    </row>
    <row r="104" spans="1:12" ht="15.75" x14ac:dyDescent="0.25">
      <c r="A104" s="31"/>
      <c r="B104" s="32"/>
      <c r="C104" s="32"/>
      <c r="D104" s="33"/>
      <c r="E104" s="33"/>
      <c r="F104" s="33"/>
      <c r="G104" s="32"/>
      <c r="H104" s="36"/>
      <c r="I104" s="37"/>
      <c r="J104" s="37"/>
      <c r="K104" s="37"/>
      <c r="L104" s="38"/>
    </row>
    <row r="105" spans="1:12" ht="15.75" x14ac:dyDescent="0.25">
      <c r="A105" s="31"/>
      <c r="B105" s="32"/>
      <c r="C105" s="32"/>
      <c r="D105" s="33"/>
      <c r="E105" s="33"/>
      <c r="F105" s="33"/>
      <c r="G105" s="32"/>
      <c r="H105" s="36"/>
      <c r="I105" s="37"/>
      <c r="J105" s="37"/>
      <c r="K105" s="37"/>
      <c r="L105" s="38"/>
    </row>
    <row r="106" spans="1:12" ht="15.75" x14ac:dyDescent="0.25">
      <c r="A106" s="31"/>
      <c r="B106" s="32"/>
      <c r="C106" s="32"/>
      <c r="D106" s="33"/>
      <c r="E106" s="33"/>
      <c r="F106" s="33"/>
      <c r="G106" s="32"/>
      <c r="H106" s="36"/>
      <c r="I106" s="37"/>
      <c r="J106" s="37"/>
      <c r="K106" s="37"/>
      <c r="L106" s="38"/>
    </row>
    <row r="107" spans="1:12" ht="15.75" x14ac:dyDescent="0.25">
      <c r="A107" s="31"/>
      <c r="B107" s="32"/>
      <c r="C107" s="32"/>
      <c r="D107" s="33"/>
      <c r="E107" s="33"/>
      <c r="F107" s="33"/>
      <c r="G107" s="32"/>
      <c r="H107" s="36"/>
      <c r="I107" s="37"/>
      <c r="J107" s="37"/>
      <c r="K107" s="37"/>
      <c r="L107" s="38"/>
    </row>
    <row r="108" spans="1:12" ht="15.75" x14ac:dyDescent="0.25">
      <c r="A108" s="31"/>
      <c r="B108" s="32"/>
      <c r="C108" s="32"/>
      <c r="D108" s="33"/>
      <c r="E108" s="33"/>
      <c r="F108" s="33"/>
      <c r="G108" s="32"/>
      <c r="H108" s="36"/>
      <c r="I108" s="37"/>
      <c r="J108" s="37"/>
      <c r="K108" s="37"/>
      <c r="L108" s="38"/>
    </row>
    <row r="109" spans="1:12" ht="15.75" x14ac:dyDescent="0.25">
      <c r="A109" s="31"/>
      <c r="B109" s="32"/>
      <c r="C109" s="32"/>
      <c r="D109" s="33"/>
      <c r="E109" s="33"/>
      <c r="F109" s="33"/>
      <c r="G109" s="32"/>
      <c r="H109" s="36"/>
      <c r="I109" s="37"/>
      <c r="J109" s="37"/>
      <c r="K109" s="37"/>
      <c r="L109" s="38"/>
    </row>
    <row r="110" spans="1:12" ht="15.75" x14ac:dyDescent="0.25">
      <c r="A110" s="31"/>
      <c r="B110" s="32"/>
      <c r="C110" s="32"/>
      <c r="D110" s="39"/>
      <c r="E110" s="39"/>
      <c r="F110" s="39"/>
      <c r="G110" s="32"/>
      <c r="H110" s="36"/>
      <c r="I110" s="37"/>
      <c r="J110" s="37"/>
      <c r="K110" s="37"/>
      <c r="L110" s="38"/>
    </row>
    <row r="111" spans="1:12" ht="15.75" x14ac:dyDescent="0.25">
      <c r="A111" s="31"/>
      <c r="B111" s="32"/>
      <c r="C111" s="32"/>
      <c r="D111" s="33"/>
      <c r="E111" s="33"/>
      <c r="F111" s="33"/>
      <c r="G111" s="32"/>
      <c r="H111" s="36"/>
      <c r="I111" s="37"/>
      <c r="J111" s="37"/>
      <c r="K111" s="37"/>
      <c r="L111" s="38"/>
    </row>
    <row r="112" spans="1:12" ht="15.75" x14ac:dyDescent="0.25">
      <c r="A112" s="31"/>
      <c r="B112" s="32"/>
      <c r="C112" s="32"/>
      <c r="D112" s="33"/>
      <c r="E112" s="33"/>
      <c r="F112" s="33"/>
      <c r="G112" s="32"/>
      <c r="H112" s="40"/>
      <c r="I112" s="41"/>
      <c r="J112" s="40"/>
      <c r="K112" s="42"/>
      <c r="L112" s="43"/>
    </row>
    <row r="113" spans="1:12" ht="15.75" x14ac:dyDescent="0.25">
      <c r="A113" s="31"/>
      <c r="B113" s="32"/>
      <c r="C113" s="32"/>
      <c r="D113" s="33"/>
      <c r="E113" s="33"/>
      <c r="F113" s="33"/>
      <c r="G113" s="32"/>
      <c r="H113" s="42"/>
      <c r="I113" s="44"/>
      <c r="J113" s="42"/>
      <c r="K113" s="42"/>
      <c r="L113" s="43"/>
    </row>
    <row r="114" spans="1:12" ht="15.75" x14ac:dyDescent="0.25">
      <c r="A114" s="31"/>
      <c r="B114" s="32"/>
      <c r="C114" s="32"/>
      <c r="D114" s="33"/>
      <c r="E114" s="33"/>
      <c r="F114" s="33"/>
      <c r="G114" s="32"/>
      <c r="H114" s="42"/>
      <c r="I114" s="44"/>
      <c r="J114" s="42"/>
      <c r="K114" s="42"/>
      <c r="L114" s="43"/>
    </row>
    <row r="115" spans="1:12" ht="15.75" x14ac:dyDescent="0.25">
      <c r="A115" s="31"/>
      <c r="B115" s="32"/>
      <c r="C115" s="32"/>
      <c r="D115" s="33"/>
      <c r="E115" s="33"/>
      <c r="F115" s="33"/>
      <c r="G115" s="32"/>
      <c r="H115" s="42"/>
      <c r="I115" s="44"/>
      <c r="J115" s="42"/>
      <c r="K115" s="42"/>
      <c r="L115" s="43"/>
    </row>
    <row r="116" spans="1:12" ht="15.75" x14ac:dyDescent="0.25">
      <c r="A116" s="31"/>
      <c r="B116" s="32"/>
      <c r="C116" s="32"/>
      <c r="D116" s="33"/>
      <c r="E116" s="33"/>
      <c r="F116" s="33"/>
      <c r="G116" s="32"/>
      <c r="H116" s="42"/>
      <c r="I116" s="44"/>
      <c r="J116" s="42"/>
      <c r="K116" s="42"/>
      <c r="L116" s="43"/>
    </row>
    <row r="117" spans="1:12" ht="15.75" x14ac:dyDescent="0.25">
      <c r="A117" s="31"/>
      <c r="B117" s="32"/>
      <c r="C117" s="32"/>
      <c r="D117" s="33"/>
      <c r="E117" s="33"/>
      <c r="F117" s="33"/>
      <c r="G117" s="32"/>
      <c r="H117" s="42"/>
      <c r="I117" s="44"/>
      <c r="J117" s="42"/>
      <c r="K117" s="42"/>
      <c r="L117" s="43"/>
    </row>
    <row r="118" spans="1:12" ht="15.75" x14ac:dyDescent="0.25">
      <c r="A118" s="31"/>
      <c r="B118" s="32"/>
      <c r="C118" s="32"/>
      <c r="D118" s="33"/>
      <c r="E118" s="33"/>
      <c r="F118" s="33"/>
      <c r="G118" s="32"/>
      <c r="H118" s="42"/>
      <c r="I118" s="44"/>
      <c r="J118" s="42"/>
      <c r="K118" s="42"/>
      <c r="L118" s="43"/>
    </row>
    <row r="119" spans="1:12" ht="15.75" x14ac:dyDescent="0.25">
      <c r="A119" s="31"/>
      <c r="B119" s="32"/>
      <c r="C119" s="32"/>
      <c r="D119" s="33"/>
      <c r="E119" s="33"/>
      <c r="F119" s="33"/>
      <c r="G119" s="32"/>
      <c r="H119" s="42"/>
      <c r="I119" s="44"/>
      <c r="J119" s="42"/>
      <c r="K119" s="42"/>
      <c r="L119" s="43"/>
    </row>
    <row r="120" spans="1:12" ht="15.75" x14ac:dyDescent="0.25">
      <c r="A120" s="31"/>
      <c r="B120" s="32"/>
      <c r="C120" s="32"/>
      <c r="D120" s="33"/>
      <c r="E120" s="33"/>
      <c r="F120" s="33"/>
      <c r="G120" s="32"/>
      <c r="H120" s="42"/>
      <c r="I120" s="44"/>
      <c r="J120" s="42"/>
      <c r="K120" s="42"/>
      <c r="L120" s="43"/>
    </row>
    <row r="121" spans="1:12" ht="15.75" x14ac:dyDescent="0.25">
      <c r="A121" s="31"/>
      <c r="B121" s="32"/>
      <c r="C121" s="32"/>
      <c r="D121" s="33"/>
      <c r="E121" s="33"/>
      <c r="F121" s="33"/>
      <c r="G121" s="32"/>
      <c r="H121" s="40"/>
      <c r="I121" s="44"/>
      <c r="J121" s="42"/>
      <c r="K121" s="42"/>
      <c r="L121" s="43"/>
    </row>
    <row r="122" spans="1:12" ht="15.75" x14ac:dyDescent="0.25">
      <c r="A122" s="31"/>
      <c r="B122" s="32"/>
      <c r="C122" s="32"/>
      <c r="D122" s="33"/>
      <c r="E122" s="33"/>
      <c r="F122" s="33"/>
      <c r="G122" s="32"/>
      <c r="H122" s="42"/>
      <c r="I122" s="44"/>
      <c r="J122" s="42"/>
      <c r="K122" s="42"/>
      <c r="L122" s="43"/>
    </row>
    <row r="123" spans="1:12" ht="15.75" x14ac:dyDescent="0.25">
      <c r="A123" s="31"/>
      <c r="B123" s="32"/>
      <c r="C123" s="32"/>
      <c r="D123" s="33"/>
      <c r="E123" s="33"/>
      <c r="F123" s="33"/>
      <c r="G123" s="32"/>
      <c r="H123" s="42"/>
      <c r="I123" s="44"/>
      <c r="J123" s="42"/>
      <c r="K123" s="42"/>
      <c r="L123" s="43"/>
    </row>
    <row r="124" spans="1:12" ht="15.75" x14ac:dyDescent="0.25">
      <c r="A124" s="31"/>
      <c r="B124" s="32"/>
      <c r="C124" s="32"/>
      <c r="D124" s="33"/>
      <c r="E124" s="33"/>
      <c r="F124" s="33"/>
      <c r="G124" s="32"/>
      <c r="H124" s="42"/>
      <c r="I124" s="44"/>
      <c r="J124" s="42"/>
      <c r="K124" s="42"/>
      <c r="L124" s="43"/>
    </row>
    <row r="125" spans="1:12" ht="15.75" x14ac:dyDescent="0.25">
      <c r="A125" s="31"/>
      <c r="B125" s="32"/>
      <c r="C125" s="32"/>
      <c r="D125" s="33"/>
      <c r="E125" s="33"/>
      <c r="F125" s="33"/>
      <c r="G125" s="32"/>
      <c r="H125" s="42"/>
      <c r="I125" s="44"/>
      <c r="J125" s="42"/>
      <c r="K125" s="42"/>
      <c r="L125" s="43"/>
    </row>
    <row r="126" spans="1:12" ht="15.75" x14ac:dyDescent="0.25">
      <c r="A126" s="31"/>
      <c r="B126" s="32"/>
      <c r="C126" s="32"/>
      <c r="D126" s="33"/>
      <c r="E126" s="33"/>
      <c r="F126" s="33"/>
      <c r="G126" s="32"/>
      <c r="H126" s="42"/>
      <c r="I126" s="44"/>
      <c r="J126" s="42"/>
      <c r="K126" s="42"/>
      <c r="L126" s="43"/>
    </row>
    <row r="127" spans="1:12" ht="15.75" x14ac:dyDescent="0.25">
      <c r="A127" s="31"/>
      <c r="B127" s="32"/>
      <c r="C127" s="32"/>
      <c r="D127" s="33"/>
      <c r="E127" s="33"/>
      <c r="F127" s="33"/>
      <c r="G127" s="32"/>
      <c r="H127" s="42"/>
      <c r="I127" s="44"/>
      <c r="J127" s="42"/>
      <c r="K127" s="42"/>
      <c r="L127" s="43"/>
    </row>
    <row r="128" spans="1:12" ht="15.75" x14ac:dyDescent="0.25">
      <c r="A128" s="31"/>
      <c r="B128" s="32"/>
      <c r="C128" s="32"/>
      <c r="D128" s="33"/>
      <c r="E128" s="33"/>
      <c r="F128" s="33"/>
      <c r="G128" s="32"/>
      <c r="H128" s="42"/>
      <c r="I128" s="44"/>
      <c r="J128" s="42"/>
      <c r="K128" s="42"/>
      <c r="L128" s="43"/>
    </row>
    <row r="129" spans="1:12" ht="15.75" x14ac:dyDescent="0.25">
      <c r="A129" s="31"/>
      <c r="B129" s="32"/>
      <c r="C129" s="32"/>
      <c r="D129" s="33"/>
      <c r="E129" s="33"/>
      <c r="F129" s="33"/>
      <c r="G129" s="32"/>
      <c r="H129" s="40"/>
      <c r="I129" s="44"/>
      <c r="J129" s="42"/>
      <c r="K129" s="42"/>
      <c r="L129" s="43"/>
    </row>
    <row r="130" spans="1:12" ht="15.75" x14ac:dyDescent="0.25">
      <c r="A130" s="31"/>
      <c r="B130" s="32"/>
      <c r="C130" s="32"/>
      <c r="D130" s="33"/>
      <c r="E130" s="33"/>
      <c r="F130" s="33"/>
      <c r="G130" s="32"/>
      <c r="H130" s="42"/>
      <c r="I130" s="44"/>
      <c r="J130" s="42"/>
      <c r="K130" s="42"/>
      <c r="L130" s="43"/>
    </row>
    <row r="131" spans="1:12" ht="15.75" x14ac:dyDescent="0.25">
      <c r="A131" s="31"/>
      <c r="B131" s="32"/>
      <c r="C131" s="32"/>
      <c r="D131" s="33"/>
      <c r="E131" s="33"/>
      <c r="F131" s="33"/>
      <c r="G131" s="32"/>
      <c r="H131" s="40"/>
      <c r="I131" s="44"/>
      <c r="J131" s="42"/>
      <c r="K131" s="42"/>
      <c r="L131" s="43"/>
    </row>
    <row r="132" spans="1:12" ht="15.75" x14ac:dyDescent="0.25">
      <c r="A132" s="31"/>
      <c r="B132" s="32"/>
      <c r="C132" s="32"/>
      <c r="D132" s="33"/>
      <c r="E132" s="33"/>
      <c r="F132" s="33"/>
      <c r="G132" s="32"/>
      <c r="H132" s="42"/>
      <c r="I132" s="44"/>
      <c r="J132" s="42"/>
      <c r="K132" s="42"/>
      <c r="L132" s="43"/>
    </row>
    <row r="133" spans="1:12" ht="15.75" x14ac:dyDescent="0.25">
      <c r="A133" s="31"/>
      <c r="B133" s="32"/>
      <c r="C133" s="32"/>
      <c r="D133" s="33"/>
      <c r="E133" s="33"/>
      <c r="F133" s="33"/>
      <c r="G133" s="32"/>
      <c r="H133" s="42"/>
      <c r="I133" s="44"/>
      <c r="J133" s="42"/>
      <c r="K133" s="42"/>
      <c r="L133" s="43"/>
    </row>
    <row r="134" spans="1:12" ht="15.75" x14ac:dyDescent="0.25">
      <c r="A134" s="31"/>
      <c r="B134" s="32"/>
      <c r="C134" s="32"/>
      <c r="D134" s="33"/>
      <c r="E134" s="33"/>
      <c r="F134" s="33"/>
      <c r="G134" s="32"/>
      <c r="H134" s="42"/>
      <c r="I134" s="44"/>
      <c r="J134" s="42"/>
      <c r="K134" s="42"/>
      <c r="L134" s="43"/>
    </row>
    <row r="135" spans="1:12" ht="15.75" x14ac:dyDescent="0.25">
      <c r="A135" s="31"/>
      <c r="B135" s="32"/>
      <c r="C135" s="32"/>
      <c r="D135" s="33"/>
      <c r="E135" s="33"/>
      <c r="F135" s="33"/>
      <c r="G135" s="32"/>
      <c r="H135" s="42"/>
      <c r="I135" s="44"/>
      <c r="J135" s="42"/>
      <c r="K135" s="42"/>
      <c r="L135" s="43"/>
    </row>
    <row r="136" spans="1:12" ht="15.75" x14ac:dyDescent="0.25">
      <c r="A136" s="31"/>
      <c r="B136" s="32"/>
      <c r="C136" s="32"/>
      <c r="D136" s="33"/>
      <c r="E136" s="33"/>
      <c r="F136" s="33"/>
      <c r="G136" s="32"/>
      <c r="H136" s="40"/>
      <c r="I136" s="44"/>
      <c r="J136" s="42"/>
      <c r="K136" s="42"/>
      <c r="L136" s="43"/>
    </row>
    <row r="137" spans="1:12" ht="15.75" x14ac:dyDescent="0.25">
      <c r="A137" s="31"/>
      <c r="B137" s="32"/>
      <c r="C137" s="32"/>
      <c r="D137" s="33"/>
      <c r="E137" s="33"/>
      <c r="F137" s="33"/>
      <c r="G137" s="32"/>
      <c r="H137" s="42"/>
      <c r="I137" s="44"/>
      <c r="J137" s="42"/>
      <c r="K137" s="42"/>
      <c r="L137" s="43"/>
    </row>
    <row r="138" spans="1:12" ht="15.75" x14ac:dyDescent="0.25">
      <c r="A138" s="31"/>
      <c r="B138" s="32"/>
      <c r="C138" s="32"/>
      <c r="D138" s="33"/>
      <c r="E138" s="33"/>
      <c r="F138" s="33"/>
      <c r="G138" s="32"/>
      <c r="H138" s="42"/>
      <c r="I138" s="44"/>
      <c r="J138" s="42"/>
      <c r="K138" s="42"/>
      <c r="L138" s="43"/>
    </row>
    <row r="139" spans="1:12" ht="15.75" x14ac:dyDescent="0.25">
      <c r="A139" s="31"/>
      <c r="B139" s="32"/>
      <c r="C139" s="32"/>
      <c r="D139" s="33"/>
      <c r="E139" s="33"/>
      <c r="F139" s="33"/>
      <c r="G139" s="32"/>
      <c r="H139" s="42"/>
      <c r="I139" s="44"/>
      <c r="J139" s="42"/>
      <c r="K139" s="42"/>
      <c r="L139" s="43"/>
    </row>
    <row r="140" spans="1:12" ht="15.75" x14ac:dyDescent="0.25">
      <c r="A140" s="31"/>
      <c r="B140" s="32"/>
      <c r="C140" s="32"/>
      <c r="D140" s="33"/>
      <c r="E140" s="33"/>
      <c r="F140" s="33"/>
      <c r="G140" s="32"/>
      <c r="H140" s="42"/>
      <c r="I140" s="44"/>
      <c r="J140" s="42"/>
      <c r="K140" s="42"/>
      <c r="L140" s="43"/>
    </row>
    <row r="141" spans="1:12" ht="15.75" x14ac:dyDescent="0.25">
      <c r="A141" s="31"/>
      <c r="B141" s="32"/>
      <c r="C141" s="32"/>
      <c r="D141" s="33"/>
      <c r="E141" s="33"/>
      <c r="F141" s="33"/>
      <c r="G141" s="32"/>
      <c r="H141" s="36"/>
      <c r="I141" s="37"/>
      <c r="J141" s="36"/>
      <c r="K141" s="36"/>
      <c r="L141" s="38"/>
    </row>
    <row r="142" spans="1:12" ht="15.75" x14ac:dyDescent="0.25">
      <c r="A142" s="31"/>
      <c r="B142" s="32"/>
      <c r="C142" s="32"/>
      <c r="D142" s="33"/>
      <c r="E142" s="33"/>
      <c r="F142" s="33"/>
      <c r="G142" s="32"/>
      <c r="H142" s="36"/>
      <c r="I142" s="37"/>
      <c r="J142" s="36"/>
      <c r="K142" s="36"/>
      <c r="L142" s="38"/>
    </row>
    <row r="143" spans="1:12" ht="15.75" x14ac:dyDescent="0.25">
      <c r="A143" s="31"/>
      <c r="B143" s="32"/>
      <c r="C143" s="32"/>
      <c r="D143" s="33"/>
      <c r="E143" s="33"/>
      <c r="F143" s="33"/>
      <c r="G143" s="32"/>
      <c r="H143" s="36"/>
      <c r="I143" s="37"/>
      <c r="J143" s="36"/>
      <c r="K143" s="36"/>
      <c r="L143" s="38"/>
    </row>
    <row r="144" spans="1:12" ht="15.75" x14ac:dyDescent="0.25">
      <c r="A144" s="31"/>
      <c r="B144" s="32"/>
      <c r="C144" s="32"/>
      <c r="D144" s="33"/>
      <c r="E144" s="33"/>
      <c r="F144" s="33"/>
      <c r="G144" s="32"/>
      <c r="H144" s="36"/>
      <c r="I144" s="37"/>
      <c r="J144" s="36"/>
      <c r="K144" s="36"/>
      <c r="L144" s="38"/>
    </row>
    <row r="145" spans="1:12" ht="15.75" x14ac:dyDescent="0.25">
      <c r="A145" s="31"/>
      <c r="B145" s="32"/>
      <c r="C145" s="32"/>
      <c r="D145" s="33"/>
      <c r="E145" s="33"/>
      <c r="F145" s="33"/>
      <c r="G145" s="32"/>
      <c r="H145" s="36"/>
      <c r="I145" s="37"/>
      <c r="J145" s="36"/>
      <c r="K145" s="36"/>
      <c r="L145" s="38"/>
    </row>
    <row r="146" spans="1:12" ht="15.75" x14ac:dyDescent="0.25">
      <c r="A146" s="31"/>
      <c r="B146" s="32"/>
      <c r="C146" s="32"/>
      <c r="D146" s="33"/>
      <c r="E146" s="33"/>
      <c r="F146" s="33"/>
      <c r="G146" s="32"/>
      <c r="H146" s="36"/>
      <c r="I146" s="37"/>
      <c r="J146" s="36"/>
      <c r="K146" s="36"/>
      <c r="L146" s="38"/>
    </row>
    <row r="147" spans="1:12" ht="15.75" x14ac:dyDescent="0.25">
      <c r="A147" s="31"/>
      <c r="B147" s="32"/>
      <c r="C147" s="32"/>
      <c r="D147" s="33"/>
      <c r="E147" s="33"/>
      <c r="F147" s="33"/>
      <c r="G147" s="32"/>
      <c r="H147" s="36"/>
      <c r="I147" s="37"/>
      <c r="J147" s="36"/>
      <c r="K147" s="36"/>
      <c r="L147" s="38"/>
    </row>
    <row r="148" spans="1:12" ht="15.75" x14ac:dyDescent="0.25">
      <c r="A148" s="31"/>
      <c r="B148" s="32"/>
      <c r="C148" s="32"/>
      <c r="D148" s="33"/>
      <c r="E148" s="33"/>
      <c r="F148" s="33"/>
      <c r="G148" s="32"/>
      <c r="H148" s="36"/>
      <c r="I148" s="37"/>
      <c r="J148" s="36"/>
      <c r="K148" s="36"/>
      <c r="L148" s="38"/>
    </row>
    <row r="149" spans="1:12" ht="15.75" x14ac:dyDescent="0.25">
      <c r="A149" s="31"/>
      <c r="B149" s="32"/>
      <c r="C149" s="32"/>
      <c r="D149" s="33"/>
      <c r="E149" s="33"/>
      <c r="F149" s="33"/>
      <c r="G149" s="32"/>
      <c r="H149" s="36"/>
      <c r="I149" s="37"/>
      <c r="J149" s="36"/>
      <c r="K149" s="36"/>
      <c r="L149" s="38"/>
    </row>
    <row r="150" spans="1:12" ht="15.75" x14ac:dyDescent="0.25">
      <c r="A150" s="31"/>
      <c r="B150" s="32"/>
      <c r="C150" s="32"/>
      <c r="D150" s="33"/>
      <c r="E150" s="33"/>
      <c r="F150" s="33"/>
      <c r="G150" s="32"/>
      <c r="H150" s="36"/>
      <c r="I150" s="37"/>
      <c r="J150" s="37"/>
      <c r="K150" s="37"/>
      <c r="L150" s="38"/>
    </row>
    <row r="151" spans="1:12" ht="15.75" x14ac:dyDescent="0.25">
      <c r="A151" s="31"/>
      <c r="B151" s="32"/>
      <c r="C151" s="32"/>
      <c r="D151" s="33"/>
      <c r="E151" s="33"/>
      <c r="F151" s="33"/>
      <c r="G151" s="32"/>
      <c r="H151" s="36"/>
      <c r="I151" s="37"/>
      <c r="J151" s="37"/>
      <c r="K151" s="37"/>
      <c r="L151" s="38"/>
    </row>
    <row r="152" spans="1:12" ht="15.75" x14ac:dyDescent="0.25">
      <c r="A152" s="31"/>
      <c r="B152" s="32"/>
      <c r="C152" s="32"/>
      <c r="D152" s="33"/>
      <c r="E152" s="33"/>
      <c r="F152" s="33"/>
      <c r="G152" s="32"/>
      <c r="H152" s="36"/>
      <c r="I152" s="37"/>
      <c r="J152" s="37"/>
      <c r="K152" s="37"/>
      <c r="L152" s="38"/>
    </row>
    <row r="153" spans="1:12" ht="15.75" x14ac:dyDescent="0.25">
      <c r="A153" s="31"/>
      <c r="B153" s="32"/>
      <c r="C153" s="32"/>
      <c r="D153" s="33"/>
      <c r="E153" s="33"/>
      <c r="F153" s="33"/>
      <c r="G153" s="32"/>
      <c r="H153" s="36"/>
      <c r="I153" s="37"/>
      <c r="J153" s="37"/>
      <c r="K153" s="37"/>
      <c r="L153" s="38"/>
    </row>
    <row r="154" spans="1:12" ht="15.75" x14ac:dyDescent="0.25">
      <c r="A154" s="31"/>
      <c r="B154" s="32"/>
      <c r="C154" s="32"/>
      <c r="D154" s="33"/>
      <c r="E154" s="33"/>
      <c r="F154" s="33"/>
      <c r="G154" s="32"/>
      <c r="H154" s="36"/>
      <c r="I154" s="37"/>
      <c r="J154" s="37"/>
      <c r="K154" s="37"/>
      <c r="L154" s="38"/>
    </row>
    <row r="155" spans="1:12" ht="15.75" x14ac:dyDescent="0.25">
      <c r="A155" s="31"/>
      <c r="B155" s="32"/>
      <c r="C155" s="32"/>
      <c r="D155" s="33"/>
      <c r="E155" s="33"/>
      <c r="F155" s="33"/>
      <c r="G155" s="32"/>
      <c r="H155" s="36"/>
      <c r="I155" s="37"/>
      <c r="J155" s="37"/>
      <c r="K155" s="37"/>
      <c r="L155" s="38"/>
    </row>
    <row r="156" spans="1:12" ht="15.75" x14ac:dyDescent="0.25">
      <c r="A156" s="31"/>
      <c r="B156" s="32"/>
      <c r="C156" s="32"/>
      <c r="D156" s="33"/>
      <c r="E156" s="33"/>
      <c r="F156" s="33"/>
      <c r="G156" s="32"/>
      <c r="H156" s="36"/>
      <c r="I156" s="37"/>
      <c r="J156" s="37"/>
      <c r="K156" s="37"/>
      <c r="L156" s="38"/>
    </row>
    <row r="157" spans="1:12" ht="15.75" x14ac:dyDescent="0.25">
      <c r="A157" s="31"/>
      <c r="B157" s="32"/>
      <c r="C157" s="32"/>
      <c r="D157" s="33"/>
      <c r="E157" s="33"/>
      <c r="F157" s="33"/>
      <c r="G157" s="32"/>
      <c r="H157" s="36"/>
      <c r="I157" s="37"/>
      <c r="J157" s="37"/>
      <c r="K157" s="37"/>
      <c r="L157" s="38"/>
    </row>
    <row r="158" spans="1:12" ht="15.75" x14ac:dyDescent="0.25">
      <c r="A158" s="31"/>
      <c r="B158" s="32"/>
      <c r="C158" s="32"/>
      <c r="D158" s="33"/>
      <c r="E158" s="33"/>
      <c r="F158" s="33"/>
      <c r="G158" s="32"/>
      <c r="H158" s="36"/>
      <c r="I158" s="37"/>
      <c r="J158" s="37"/>
      <c r="K158" s="37"/>
      <c r="L158" s="38"/>
    </row>
    <row r="159" spans="1:12" ht="15.75" x14ac:dyDescent="0.25">
      <c r="A159" s="31"/>
      <c r="B159" s="32"/>
      <c r="C159" s="32"/>
      <c r="D159" s="33"/>
      <c r="E159" s="33"/>
      <c r="F159" s="33"/>
      <c r="G159" s="32"/>
      <c r="H159" s="36"/>
      <c r="I159" s="37"/>
      <c r="J159" s="37"/>
      <c r="K159" s="37"/>
      <c r="L159" s="38"/>
    </row>
    <row r="160" spans="1:12" ht="15.75" x14ac:dyDescent="0.25">
      <c r="A160" s="31"/>
      <c r="B160" s="32"/>
      <c r="C160" s="32"/>
      <c r="D160" s="33"/>
      <c r="E160" s="33"/>
      <c r="F160" s="33"/>
      <c r="G160" s="32"/>
      <c r="H160" s="36"/>
      <c r="I160" s="37"/>
      <c r="J160" s="37"/>
      <c r="K160" s="37"/>
      <c r="L160" s="38"/>
    </row>
    <row r="161" spans="1:12" ht="15.75" x14ac:dyDescent="0.25">
      <c r="A161" s="31"/>
      <c r="B161" s="32"/>
      <c r="C161" s="32"/>
      <c r="D161" s="33"/>
      <c r="E161" s="33"/>
      <c r="F161" s="33"/>
      <c r="G161" s="32"/>
      <c r="H161" s="36"/>
      <c r="I161" s="37"/>
      <c r="J161" s="37"/>
      <c r="K161" s="37"/>
      <c r="L161" s="38"/>
    </row>
    <row r="162" spans="1:12" ht="15.75" x14ac:dyDescent="0.25">
      <c r="A162" s="31"/>
      <c r="B162" s="32"/>
      <c r="C162" s="32"/>
      <c r="D162" s="33"/>
      <c r="E162" s="33"/>
      <c r="F162" s="33"/>
      <c r="G162" s="32"/>
      <c r="H162" s="36"/>
      <c r="I162" s="37"/>
      <c r="J162" s="37"/>
      <c r="K162" s="37"/>
      <c r="L162" s="38"/>
    </row>
    <row r="163" spans="1:12" ht="15.75" x14ac:dyDescent="0.25">
      <c r="A163" s="31"/>
      <c r="B163" s="32"/>
      <c r="C163" s="32"/>
      <c r="D163" s="33"/>
      <c r="E163" s="33"/>
      <c r="F163" s="33"/>
      <c r="G163" s="32"/>
      <c r="H163" s="36"/>
      <c r="I163" s="37"/>
      <c r="J163" s="37"/>
      <c r="K163" s="37"/>
      <c r="L163" s="38"/>
    </row>
    <row r="164" spans="1:12" ht="15.75" x14ac:dyDescent="0.25">
      <c r="A164" s="31"/>
      <c r="B164" s="32"/>
      <c r="C164" s="32"/>
      <c r="D164" s="33"/>
      <c r="E164" s="33"/>
      <c r="F164" s="33"/>
      <c r="G164" s="32"/>
      <c r="H164" s="36"/>
      <c r="I164" s="37"/>
      <c r="J164" s="37"/>
      <c r="K164" s="37"/>
      <c r="L164" s="38"/>
    </row>
    <row r="165" spans="1:12" ht="15.75" x14ac:dyDescent="0.25">
      <c r="A165" s="31"/>
      <c r="B165" s="32"/>
      <c r="C165" s="32"/>
      <c r="D165" s="33"/>
      <c r="E165" s="33"/>
      <c r="F165" s="33"/>
      <c r="G165" s="32"/>
      <c r="H165" s="36"/>
      <c r="I165" s="37"/>
      <c r="J165" s="37"/>
      <c r="K165" s="37"/>
      <c r="L165" s="38"/>
    </row>
    <row r="166" spans="1:12" ht="15.75" x14ac:dyDescent="0.25">
      <c r="A166" s="31"/>
      <c r="B166" s="32"/>
      <c r="C166" s="32"/>
      <c r="D166" s="33"/>
      <c r="E166" s="33"/>
      <c r="F166" s="33"/>
      <c r="G166" s="32"/>
      <c r="H166" s="36"/>
      <c r="I166" s="37"/>
      <c r="J166" s="37"/>
      <c r="K166" s="37"/>
      <c r="L166" s="38"/>
    </row>
    <row r="167" spans="1:12" ht="15.75" x14ac:dyDescent="0.25">
      <c r="A167" s="31"/>
      <c r="B167" s="32"/>
      <c r="C167" s="32"/>
      <c r="D167" s="33"/>
      <c r="E167" s="33"/>
      <c r="F167" s="33"/>
      <c r="G167" s="32"/>
      <c r="H167" s="36"/>
      <c r="I167" s="37"/>
      <c r="J167" s="37"/>
      <c r="K167" s="37"/>
      <c r="L167" s="38"/>
    </row>
    <row r="168" spans="1:12" ht="15.75" x14ac:dyDescent="0.25">
      <c r="A168" s="31"/>
      <c r="B168" s="32"/>
      <c r="C168" s="32"/>
      <c r="D168" s="33"/>
      <c r="E168" s="33"/>
      <c r="F168" s="33"/>
      <c r="G168" s="32"/>
      <c r="H168" s="36"/>
      <c r="I168" s="37"/>
      <c r="J168" s="37"/>
      <c r="K168" s="37"/>
      <c r="L168" s="38"/>
    </row>
    <row r="169" spans="1:12" ht="15.75" x14ac:dyDescent="0.25">
      <c r="A169" s="31"/>
      <c r="B169" s="32"/>
      <c r="C169" s="32"/>
      <c r="D169" s="33"/>
      <c r="E169" s="33"/>
      <c r="F169" s="33"/>
      <c r="G169" s="32"/>
      <c r="H169" s="36"/>
      <c r="I169" s="37"/>
      <c r="J169" s="37"/>
      <c r="K169" s="37"/>
      <c r="L169" s="38"/>
    </row>
  </sheetData>
  <mergeCells count="2">
    <mergeCell ref="A1:L1"/>
    <mergeCell ref="G2:K2"/>
  </mergeCells>
  <pageMargins left="0.7" right="0.7" top="0.75" bottom="0.75" header="0.3" footer="0.3"/>
  <pageSetup scale="75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69"/>
  <sheetViews>
    <sheetView workbookViewId="0">
      <pane xSplit="12" ySplit="4" topLeftCell="M5" activePane="bottomRight" state="frozen"/>
      <selection activeCell="M5" sqref="M5"/>
      <selection pane="topRight" activeCell="M5" sqref="M5"/>
      <selection pane="bottomLeft" activeCell="M5" sqref="M5"/>
      <selection pane="bottomRight" activeCell="H11" sqref="H11"/>
    </sheetView>
  </sheetViews>
  <sheetFormatPr defaultRowHeight="15" x14ac:dyDescent="0.25"/>
  <cols>
    <col min="1" max="1" width="10.5703125" bestFit="1" customWidth="1"/>
    <col min="3" max="3" width="19.7109375" customWidth="1"/>
  </cols>
  <sheetData>
    <row r="1" spans="1:12" x14ac:dyDescent="0.25">
      <c r="A1" s="352" t="s">
        <v>51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</row>
    <row r="2" spans="1:12" x14ac:dyDescent="0.25">
      <c r="A2" s="25"/>
      <c r="B2" s="26"/>
      <c r="C2" s="26"/>
      <c r="D2" s="26"/>
      <c r="E2" s="27"/>
      <c r="F2" s="27"/>
      <c r="G2" s="353" t="s">
        <v>35</v>
      </c>
      <c r="H2" s="354"/>
      <c r="I2" s="354"/>
      <c r="J2" s="354"/>
      <c r="K2" s="355"/>
      <c r="L2" s="24"/>
    </row>
    <row r="3" spans="1:12" ht="31.5" x14ac:dyDescent="0.25">
      <c r="A3" s="141" t="s">
        <v>36</v>
      </c>
      <c r="B3" s="28" t="s">
        <v>37</v>
      </c>
      <c r="C3" s="28" t="s">
        <v>38</v>
      </c>
      <c r="D3" s="28" t="s">
        <v>39</v>
      </c>
      <c r="E3" s="28" t="s">
        <v>48</v>
      </c>
      <c r="F3" s="28" t="s">
        <v>49</v>
      </c>
      <c r="G3" s="28" t="s">
        <v>43</v>
      </c>
      <c r="H3" s="28" t="s">
        <v>50</v>
      </c>
      <c r="I3" s="28" t="s">
        <v>45</v>
      </c>
      <c r="J3" s="28" t="s">
        <v>46</v>
      </c>
      <c r="K3" s="28" t="s">
        <v>47</v>
      </c>
      <c r="L3" s="28" t="s">
        <v>23</v>
      </c>
    </row>
    <row r="4" spans="1:12" x14ac:dyDescent="0.25">
      <c r="A4" s="29"/>
      <c r="B4" s="30"/>
      <c r="C4" s="30"/>
      <c r="D4" s="30">
        <f>SUM(D5:D100)</f>
        <v>0</v>
      </c>
      <c r="E4" s="30">
        <f t="shared" ref="E4:F4" si="0">SUM(E5:E100)</f>
        <v>0</v>
      </c>
      <c r="F4" s="30">
        <f t="shared" si="0"/>
        <v>0</v>
      </c>
      <c r="G4" s="30"/>
      <c r="H4" s="30">
        <f>SUM(H5:H100)</f>
        <v>0</v>
      </c>
      <c r="I4" s="30">
        <f>SUM(I5:I100)</f>
        <v>0</v>
      </c>
      <c r="J4" s="30">
        <f>SUM(J5:J100)</f>
        <v>0</v>
      </c>
      <c r="K4" s="30">
        <f>SUM(K5:K100)</f>
        <v>0</v>
      </c>
      <c r="L4" s="30">
        <f>SUM(H4:K4,F4,E4)</f>
        <v>0</v>
      </c>
    </row>
    <row r="5" spans="1:12" ht="15.75" x14ac:dyDescent="0.25">
      <c r="A5" s="31"/>
      <c r="B5" s="33"/>
      <c r="C5" s="32"/>
      <c r="D5" s="33"/>
      <c r="E5" s="33"/>
      <c r="F5" s="33"/>
      <c r="G5" s="32"/>
      <c r="H5" s="34"/>
      <c r="I5" s="34"/>
      <c r="J5" s="34"/>
      <c r="K5" s="34"/>
      <c r="L5" s="35"/>
    </row>
    <row r="6" spans="1:12" ht="15.75" x14ac:dyDescent="0.25">
      <c r="A6" s="31"/>
      <c r="B6" s="32"/>
      <c r="C6" s="32"/>
      <c r="D6" s="33"/>
      <c r="E6" s="33"/>
      <c r="F6" s="33"/>
      <c r="G6" s="32"/>
      <c r="H6" s="34"/>
      <c r="I6" s="34"/>
      <c r="J6" s="34"/>
      <c r="K6" s="34"/>
      <c r="L6" s="35"/>
    </row>
    <row r="7" spans="1:12" ht="15.75" x14ac:dyDescent="0.25">
      <c r="A7" s="31"/>
      <c r="B7" s="32"/>
      <c r="C7" s="32"/>
      <c r="D7" s="33"/>
      <c r="E7" s="33"/>
      <c r="F7" s="33"/>
      <c r="G7" s="32"/>
      <c r="H7" s="34"/>
      <c r="I7" s="34"/>
      <c r="J7" s="34"/>
      <c r="K7" s="34"/>
      <c r="L7" s="35"/>
    </row>
    <row r="8" spans="1:12" ht="15.75" x14ac:dyDescent="0.25">
      <c r="A8" s="31"/>
      <c r="B8" s="32"/>
      <c r="C8" s="32"/>
      <c r="D8" s="33"/>
      <c r="E8" s="33"/>
      <c r="F8" s="33"/>
      <c r="G8" s="32"/>
      <c r="H8" s="34"/>
      <c r="I8" s="34"/>
      <c r="J8" s="34"/>
      <c r="K8" s="34"/>
      <c r="L8" s="35"/>
    </row>
    <row r="9" spans="1:12" ht="15.75" x14ac:dyDescent="0.25">
      <c r="A9" s="31"/>
      <c r="B9" s="32"/>
      <c r="C9" s="32"/>
      <c r="D9" s="33"/>
      <c r="E9" s="33"/>
      <c r="F9" s="33"/>
      <c r="G9" s="32"/>
      <c r="H9" s="34"/>
      <c r="I9" s="34"/>
      <c r="J9" s="34"/>
      <c r="K9" s="34"/>
      <c r="L9" s="35"/>
    </row>
    <row r="10" spans="1:12" ht="15.75" x14ac:dyDescent="0.25">
      <c r="A10" s="31"/>
      <c r="B10" s="32"/>
      <c r="C10" s="32"/>
      <c r="D10" s="33"/>
      <c r="E10" s="33"/>
      <c r="F10" s="33"/>
      <c r="G10" s="32"/>
      <c r="H10" s="34"/>
      <c r="I10" s="34"/>
      <c r="J10" s="34"/>
      <c r="K10" s="34"/>
      <c r="L10" s="35"/>
    </row>
    <row r="11" spans="1:12" ht="15.75" x14ac:dyDescent="0.25">
      <c r="A11" s="31"/>
      <c r="B11" s="32"/>
      <c r="C11" s="32"/>
      <c r="D11" s="33"/>
      <c r="E11" s="33"/>
      <c r="F11" s="33"/>
      <c r="G11" s="32"/>
      <c r="H11" s="34"/>
      <c r="I11" s="34"/>
      <c r="J11" s="34"/>
      <c r="K11" s="34"/>
      <c r="L11" s="35"/>
    </row>
    <row r="12" spans="1:12" ht="15.75" x14ac:dyDescent="0.25">
      <c r="A12" s="31"/>
      <c r="B12" s="32"/>
      <c r="C12" s="32"/>
      <c r="D12" s="33"/>
      <c r="E12" s="33"/>
      <c r="F12" s="33"/>
      <c r="G12" s="32"/>
      <c r="H12" s="34"/>
      <c r="I12" s="34"/>
      <c r="J12" s="34"/>
      <c r="K12" s="34"/>
      <c r="L12" s="35"/>
    </row>
    <row r="13" spans="1:12" ht="15.75" x14ac:dyDescent="0.25">
      <c r="A13" s="31"/>
      <c r="B13" s="32"/>
      <c r="C13" s="32"/>
      <c r="D13" s="33"/>
      <c r="E13" s="33"/>
      <c r="F13" s="33"/>
      <c r="G13" s="32"/>
      <c r="H13" s="34"/>
      <c r="I13" s="34"/>
      <c r="J13" s="34"/>
      <c r="K13" s="34"/>
      <c r="L13" s="35"/>
    </row>
    <row r="14" spans="1:12" ht="15.75" x14ac:dyDescent="0.25">
      <c r="A14" s="31"/>
      <c r="B14" s="32"/>
      <c r="C14" s="32"/>
      <c r="D14" s="33"/>
      <c r="E14" s="33"/>
      <c r="F14" s="33"/>
      <c r="G14" s="32"/>
      <c r="H14" s="34"/>
      <c r="I14" s="34"/>
      <c r="J14" s="34"/>
      <c r="K14" s="34"/>
      <c r="L14" s="35"/>
    </row>
    <row r="15" spans="1:12" ht="15.75" x14ac:dyDescent="0.25">
      <c r="A15" s="31"/>
      <c r="B15" s="32"/>
      <c r="C15" s="32"/>
      <c r="D15" s="33"/>
      <c r="E15" s="33"/>
      <c r="F15" s="33"/>
      <c r="G15" s="32"/>
      <c r="H15" s="34"/>
      <c r="I15" s="34"/>
      <c r="J15" s="34"/>
      <c r="K15" s="34"/>
      <c r="L15" s="35"/>
    </row>
    <row r="16" spans="1:12" ht="15.75" x14ac:dyDescent="0.25">
      <c r="A16" s="31"/>
      <c r="B16" s="32"/>
      <c r="C16" s="32"/>
      <c r="D16" s="33"/>
      <c r="E16" s="33"/>
      <c r="F16" s="33"/>
      <c r="G16" s="32"/>
      <c r="H16" s="34"/>
      <c r="I16" s="34"/>
      <c r="J16" s="34"/>
      <c r="K16" s="34"/>
      <c r="L16" s="35"/>
    </row>
    <row r="17" spans="1:12" ht="15.75" x14ac:dyDescent="0.25">
      <c r="A17" s="31"/>
      <c r="B17" s="32"/>
      <c r="C17" s="32"/>
      <c r="D17" s="33"/>
      <c r="E17" s="33"/>
      <c r="F17" s="33"/>
      <c r="G17" s="32"/>
      <c r="H17" s="34"/>
      <c r="I17" s="34"/>
      <c r="J17" s="34"/>
      <c r="K17" s="34"/>
      <c r="L17" s="35"/>
    </row>
    <row r="18" spans="1:12" ht="15.75" x14ac:dyDescent="0.25">
      <c r="A18" s="31"/>
      <c r="B18" s="32"/>
      <c r="C18" s="32"/>
      <c r="D18" s="33"/>
      <c r="E18" s="33"/>
      <c r="F18" s="33"/>
      <c r="G18" s="32"/>
      <c r="H18" s="34"/>
      <c r="I18" s="34"/>
      <c r="J18" s="34"/>
      <c r="K18" s="34"/>
      <c r="L18" s="35"/>
    </row>
    <row r="19" spans="1:12" ht="15.75" x14ac:dyDescent="0.25">
      <c r="A19" s="31"/>
      <c r="B19" s="32"/>
      <c r="C19" s="32"/>
      <c r="D19" s="33"/>
      <c r="E19" s="33"/>
      <c r="F19" s="33"/>
      <c r="G19" s="32"/>
      <c r="H19" s="34"/>
      <c r="I19" s="34"/>
      <c r="J19" s="34"/>
      <c r="K19" s="34"/>
      <c r="L19" s="35"/>
    </row>
    <row r="20" spans="1:12" ht="15.75" x14ac:dyDescent="0.25">
      <c r="A20" s="31"/>
      <c r="B20" s="32"/>
      <c r="C20" s="32"/>
      <c r="D20" s="33"/>
      <c r="E20" s="33"/>
      <c r="F20" s="33"/>
      <c r="G20" s="32"/>
      <c r="H20" s="34"/>
      <c r="I20" s="34"/>
      <c r="J20" s="34"/>
      <c r="K20" s="34"/>
      <c r="L20" s="35"/>
    </row>
    <row r="21" spans="1:12" ht="15.75" x14ac:dyDescent="0.25">
      <c r="A21" s="31"/>
      <c r="B21" s="32"/>
      <c r="C21" s="32"/>
      <c r="D21" s="33"/>
      <c r="E21" s="33"/>
      <c r="F21" s="33"/>
      <c r="G21" s="32"/>
      <c r="H21" s="34"/>
      <c r="I21" s="34"/>
      <c r="J21" s="34"/>
      <c r="K21" s="34"/>
      <c r="L21" s="35"/>
    </row>
    <row r="22" spans="1:12" ht="15.75" x14ac:dyDescent="0.25">
      <c r="A22" s="31"/>
      <c r="B22" s="32"/>
      <c r="C22" s="32"/>
      <c r="D22" s="33"/>
      <c r="E22" s="33"/>
      <c r="F22" s="33"/>
      <c r="G22" s="32"/>
      <c r="H22" s="34"/>
      <c r="I22" s="34"/>
      <c r="J22" s="34"/>
      <c r="K22" s="34"/>
      <c r="L22" s="35"/>
    </row>
    <row r="23" spans="1:12" ht="15.75" x14ac:dyDescent="0.25">
      <c r="A23" s="31"/>
      <c r="B23" s="32"/>
      <c r="C23" s="32"/>
      <c r="D23" s="33"/>
      <c r="E23" s="33"/>
      <c r="F23" s="33"/>
      <c r="G23" s="32"/>
      <c r="H23" s="34"/>
      <c r="I23" s="34"/>
      <c r="J23" s="34"/>
      <c r="K23" s="34"/>
      <c r="L23" s="35"/>
    </row>
    <row r="24" spans="1:12" ht="15.75" x14ac:dyDescent="0.25">
      <c r="A24" s="31"/>
      <c r="B24" s="32"/>
      <c r="C24" s="32"/>
      <c r="D24" s="33"/>
      <c r="E24" s="33"/>
      <c r="F24" s="33"/>
      <c r="G24" s="32"/>
      <c r="H24" s="34"/>
      <c r="I24" s="34"/>
      <c r="J24" s="34"/>
      <c r="K24" s="34"/>
      <c r="L24" s="35"/>
    </row>
    <row r="25" spans="1:12" ht="15.75" x14ac:dyDescent="0.25">
      <c r="A25" s="31"/>
      <c r="B25" s="32"/>
      <c r="C25" s="32"/>
      <c r="D25" s="33"/>
      <c r="E25" s="33"/>
      <c r="F25" s="33"/>
      <c r="G25" s="32"/>
      <c r="H25" s="34"/>
      <c r="I25" s="34"/>
      <c r="J25" s="34"/>
      <c r="K25" s="34"/>
      <c r="L25" s="35"/>
    </row>
    <row r="26" spans="1:12" ht="15.75" x14ac:dyDescent="0.25">
      <c r="A26" s="31"/>
      <c r="B26" s="32"/>
      <c r="C26" s="32"/>
      <c r="D26" s="33"/>
      <c r="E26" s="33"/>
      <c r="F26" s="33"/>
      <c r="G26" s="32"/>
      <c r="H26" s="34"/>
      <c r="I26" s="34"/>
      <c r="J26" s="34"/>
      <c r="K26" s="34"/>
      <c r="L26" s="35"/>
    </row>
    <row r="27" spans="1:12" ht="15.75" x14ac:dyDescent="0.25">
      <c r="A27" s="31"/>
      <c r="B27" s="32"/>
      <c r="C27" s="32"/>
      <c r="D27" s="33"/>
      <c r="E27" s="33"/>
      <c r="F27" s="33"/>
      <c r="G27" s="32"/>
      <c r="H27" s="34"/>
      <c r="I27" s="34"/>
      <c r="J27" s="34"/>
      <c r="K27" s="34"/>
      <c r="L27" s="35"/>
    </row>
    <row r="28" spans="1:12" ht="15.75" x14ac:dyDescent="0.25">
      <c r="A28" s="31"/>
      <c r="B28" s="32"/>
      <c r="C28" s="32"/>
      <c r="D28" s="33"/>
      <c r="E28" s="33"/>
      <c r="F28" s="33"/>
      <c r="G28" s="32"/>
      <c r="H28" s="34"/>
      <c r="I28" s="34"/>
      <c r="J28" s="34"/>
      <c r="K28" s="34"/>
      <c r="L28" s="35"/>
    </row>
    <row r="29" spans="1:12" ht="15.75" x14ac:dyDescent="0.25">
      <c r="A29" s="31"/>
      <c r="B29" s="32"/>
      <c r="C29" s="32"/>
      <c r="D29" s="33"/>
      <c r="E29" s="33"/>
      <c r="F29" s="33"/>
      <c r="G29" s="32"/>
      <c r="H29" s="34"/>
      <c r="I29" s="34"/>
      <c r="J29" s="34"/>
      <c r="K29" s="34"/>
      <c r="L29" s="35"/>
    </row>
    <row r="30" spans="1:12" ht="15.75" x14ac:dyDescent="0.25">
      <c r="A30" s="31"/>
      <c r="B30" s="32"/>
      <c r="C30" s="32"/>
      <c r="D30" s="33"/>
      <c r="E30" s="33"/>
      <c r="F30" s="33"/>
      <c r="G30" s="32"/>
      <c r="H30" s="34"/>
      <c r="I30" s="34"/>
      <c r="J30" s="34"/>
      <c r="K30" s="34"/>
      <c r="L30" s="35"/>
    </row>
    <row r="31" spans="1:12" ht="15.75" x14ac:dyDescent="0.25">
      <c r="A31" s="31"/>
      <c r="B31" s="32"/>
      <c r="C31" s="32"/>
      <c r="D31" s="33"/>
      <c r="E31" s="33"/>
      <c r="F31" s="33"/>
      <c r="G31" s="32"/>
      <c r="H31" s="34"/>
      <c r="I31" s="34"/>
      <c r="J31" s="34"/>
      <c r="K31" s="34"/>
      <c r="L31" s="35"/>
    </row>
    <row r="32" spans="1:12" ht="15.75" x14ac:dyDescent="0.25">
      <c r="A32" s="31"/>
      <c r="B32" s="32"/>
      <c r="C32" s="32"/>
      <c r="D32" s="33"/>
      <c r="E32" s="33"/>
      <c r="F32" s="33"/>
      <c r="G32" s="32"/>
      <c r="H32" s="34"/>
      <c r="I32" s="34"/>
      <c r="J32" s="34"/>
      <c r="K32" s="34"/>
      <c r="L32" s="35"/>
    </row>
    <row r="33" spans="1:12" ht="15.75" x14ac:dyDescent="0.25">
      <c r="A33" s="31"/>
      <c r="B33" s="32"/>
      <c r="C33" s="32"/>
      <c r="D33" s="33"/>
      <c r="E33" s="33"/>
      <c r="F33" s="33"/>
      <c r="G33" s="32"/>
      <c r="H33" s="34"/>
      <c r="I33" s="34"/>
      <c r="J33" s="34"/>
      <c r="K33" s="34"/>
      <c r="L33" s="35"/>
    </row>
    <row r="34" spans="1:12" ht="15.75" x14ac:dyDescent="0.25">
      <c r="A34" s="31"/>
      <c r="B34" s="32"/>
      <c r="C34" s="32"/>
      <c r="D34" s="33"/>
      <c r="E34" s="33"/>
      <c r="F34" s="33"/>
      <c r="G34" s="32"/>
      <c r="H34" s="34"/>
      <c r="I34" s="34"/>
      <c r="J34" s="34"/>
      <c r="K34" s="34"/>
      <c r="L34" s="35"/>
    </row>
    <row r="35" spans="1:12" ht="15.75" x14ac:dyDescent="0.25">
      <c r="A35" s="31"/>
      <c r="B35" s="32"/>
      <c r="C35" s="32"/>
      <c r="D35" s="33"/>
      <c r="E35" s="33"/>
      <c r="F35" s="33"/>
      <c r="G35" s="32"/>
      <c r="H35" s="34"/>
      <c r="I35" s="34"/>
      <c r="J35" s="34"/>
      <c r="K35" s="34"/>
      <c r="L35" s="35"/>
    </row>
    <row r="36" spans="1:12" ht="15.75" x14ac:dyDescent="0.25">
      <c r="A36" s="31"/>
      <c r="B36" s="32"/>
      <c r="C36" s="32"/>
      <c r="D36" s="33"/>
      <c r="E36" s="33"/>
      <c r="F36" s="33"/>
      <c r="G36" s="32"/>
      <c r="H36" s="34"/>
      <c r="I36" s="34"/>
      <c r="J36" s="34"/>
      <c r="K36" s="34"/>
      <c r="L36" s="35"/>
    </row>
    <row r="37" spans="1:12" ht="15.75" x14ac:dyDescent="0.25">
      <c r="A37" s="31"/>
      <c r="B37" s="32"/>
      <c r="C37" s="32"/>
      <c r="D37" s="33"/>
      <c r="E37" s="33"/>
      <c r="F37" s="33"/>
      <c r="G37" s="32"/>
      <c r="H37" s="34"/>
      <c r="I37" s="34"/>
      <c r="J37" s="34"/>
      <c r="K37" s="34"/>
      <c r="L37" s="35"/>
    </row>
    <row r="38" spans="1:12" ht="15.75" x14ac:dyDescent="0.25">
      <c r="A38" s="31"/>
      <c r="B38" s="32"/>
      <c r="C38" s="32"/>
      <c r="D38" s="33"/>
      <c r="E38" s="33"/>
      <c r="F38" s="33"/>
      <c r="G38" s="32"/>
      <c r="H38" s="34"/>
      <c r="I38" s="34"/>
      <c r="J38" s="34"/>
      <c r="K38" s="34"/>
      <c r="L38" s="35"/>
    </row>
    <row r="39" spans="1:12" ht="15.75" x14ac:dyDescent="0.25">
      <c r="A39" s="31"/>
      <c r="B39" s="32"/>
      <c r="C39" s="32"/>
      <c r="D39" s="33"/>
      <c r="E39" s="33"/>
      <c r="F39" s="33"/>
      <c r="G39" s="32"/>
      <c r="H39" s="34"/>
      <c r="I39" s="34"/>
      <c r="J39" s="34"/>
      <c r="K39" s="34"/>
      <c r="L39" s="35"/>
    </row>
    <row r="40" spans="1:12" ht="15.75" x14ac:dyDescent="0.25">
      <c r="A40" s="31"/>
      <c r="B40" s="32"/>
      <c r="C40" s="32"/>
      <c r="D40" s="33"/>
      <c r="E40" s="33"/>
      <c r="F40" s="33"/>
      <c r="G40" s="32"/>
      <c r="H40" s="34"/>
      <c r="I40" s="34"/>
      <c r="J40" s="34"/>
      <c r="K40" s="34"/>
      <c r="L40" s="35"/>
    </row>
    <row r="41" spans="1:12" ht="15.75" x14ac:dyDescent="0.25">
      <c r="A41" s="31"/>
      <c r="B41" s="32"/>
      <c r="C41" s="32"/>
      <c r="D41" s="33"/>
      <c r="E41" s="33"/>
      <c r="F41" s="33"/>
      <c r="G41" s="32"/>
      <c r="H41" s="34"/>
      <c r="I41" s="34"/>
      <c r="J41" s="34"/>
      <c r="K41" s="34"/>
      <c r="L41" s="35"/>
    </row>
    <row r="42" spans="1:12" ht="15.75" x14ac:dyDescent="0.25">
      <c r="A42" s="31"/>
      <c r="B42" s="32"/>
      <c r="C42" s="32"/>
      <c r="D42" s="33"/>
      <c r="E42" s="33"/>
      <c r="F42" s="33"/>
      <c r="G42" s="32"/>
      <c r="H42" s="34"/>
      <c r="I42" s="34"/>
      <c r="J42" s="34"/>
      <c r="K42" s="34"/>
      <c r="L42" s="35"/>
    </row>
    <row r="43" spans="1:12" ht="15.75" x14ac:dyDescent="0.25">
      <c r="A43" s="31"/>
      <c r="B43" s="32"/>
      <c r="C43" s="32"/>
      <c r="D43" s="33"/>
      <c r="E43" s="33"/>
      <c r="F43" s="33"/>
      <c r="G43" s="32"/>
      <c r="H43" s="34"/>
      <c r="I43" s="34"/>
      <c r="J43" s="34"/>
      <c r="K43" s="34"/>
      <c r="L43" s="35"/>
    </row>
    <row r="44" spans="1:12" ht="15.75" x14ac:dyDescent="0.25">
      <c r="A44" s="31"/>
      <c r="B44" s="32"/>
      <c r="C44" s="32"/>
      <c r="D44" s="33"/>
      <c r="E44" s="33"/>
      <c r="F44" s="33"/>
      <c r="G44" s="32"/>
      <c r="H44" s="34"/>
      <c r="I44" s="34"/>
      <c r="J44" s="34"/>
      <c r="K44" s="34"/>
      <c r="L44" s="35"/>
    </row>
    <row r="45" spans="1:12" ht="15.75" x14ac:dyDescent="0.25">
      <c r="A45" s="31"/>
      <c r="B45" s="32"/>
      <c r="C45" s="32"/>
      <c r="D45" s="33"/>
      <c r="E45" s="33"/>
      <c r="F45" s="33"/>
      <c r="G45" s="32"/>
      <c r="H45" s="34"/>
      <c r="I45" s="34"/>
      <c r="J45" s="34"/>
      <c r="K45" s="34"/>
      <c r="L45" s="35"/>
    </row>
    <row r="46" spans="1:12" ht="15.75" x14ac:dyDescent="0.25">
      <c r="A46" s="31"/>
      <c r="B46" s="32"/>
      <c r="C46" s="32"/>
      <c r="D46" s="33"/>
      <c r="E46" s="33"/>
      <c r="F46" s="33"/>
      <c r="G46" s="32"/>
      <c r="H46" s="34"/>
      <c r="I46" s="34"/>
      <c r="J46" s="34"/>
      <c r="K46" s="34"/>
      <c r="L46" s="35"/>
    </row>
    <row r="47" spans="1:12" ht="15.75" x14ac:dyDescent="0.25">
      <c r="A47" s="31"/>
      <c r="B47" s="32"/>
      <c r="C47" s="32"/>
      <c r="D47" s="33"/>
      <c r="E47" s="33"/>
      <c r="F47" s="33"/>
      <c r="G47" s="32"/>
      <c r="H47" s="34"/>
      <c r="I47" s="34"/>
      <c r="J47" s="34"/>
      <c r="K47" s="34"/>
      <c r="L47" s="35"/>
    </row>
    <row r="48" spans="1:12" ht="15.75" x14ac:dyDescent="0.25">
      <c r="A48" s="31"/>
      <c r="B48" s="32"/>
      <c r="C48" s="32"/>
      <c r="D48" s="33"/>
      <c r="E48" s="33"/>
      <c r="F48" s="33"/>
      <c r="G48" s="32"/>
      <c r="H48" s="34"/>
      <c r="I48" s="34"/>
      <c r="J48" s="34"/>
      <c r="K48" s="34"/>
      <c r="L48" s="35"/>
    </row>
    <row r="49" spans="1:12" ht="15.75" x14ac:dyDescent="0.25">
      <c r="A49" s="31"/>
      <c r="B49" s="32"/>
      <c r="C49" s="32"/>
      <c r="D49" s="33"/>
      <c r="E49" s="33"/>
      <c r="F49" s="33"/>
      <c r="G49" s="32"/>
      <c r="H49" s="34"/>
      <c r="I49" s="34"/>
      <c r="J49" s="34"/>
      <c r="K49" s="34"/>
      <c r="L49" s="35"/>
    </row>
    <row r="50" spans="1:12" ht="15.75" x14ac:dyDescent="0.25">
      <c r="A50" s="31"/>
      <c r="B50" s="32"/>
      <c r="C50" s="32"/>
      <c r="D50" s="33"/>
      <c r="E50" s="33"/>
      <c r="F50" s="33"/>
      <c r="G50" s="32"/>
      <c r="H50" s="34"/>
      <c r="I50" s="34"/>
      <c r="J50" s="34"/>
      <c r="K50" s="34"/>
      <c r="L50" s="35"/>
    </row>
    <row r="51" spans="1:12" ht="15.75" x14ac:dyDescent="0.25">
      <c r="A51" s="31"/>
      <c r="B51" s="32"/>
      <c r="C51" s="32"/>
      <c r="D51" s="33"/>
      <c r="E51" s="33"/>
      <c r="F51" s="33"/>
      <c r="G51" s="32"/>
      <c r="H51" s="34"/>
      <c r="I51" s="34"/>
      <c r="J51" s="34"/>
      <c r="K51" s="34"/>
      <c r="L51" s="35"/>
    </row>
    <row r="52" spans="1:12" ht="15.75" x14ac:dyDescent="0.25">
      <c r="A52" s="31"/>
      <c r="B52" s="32"/>
      <c r="C52" s="32"/>
      <c r="D52" s="33"/>
      <c r="E52" s="33"/>
      <c r="F52" s="33"/>
      <c r="G52" s="32"/>
      <c r="H52" s="34"/>
      <c r="I52" s="34"/>
      <c r="J52" s="34"/>
      <c r="K52" s="34"/>
      <c r="L52" s="35"/>
    </row>
    <row r="53" spans="1:12" ht="15.75" x14ac:dyDescent="0.25">
      <c r="A53" s="31"/>
      <c r="B53" s="32"/>
      <c r="C53" s="32"/>
      <c r="D53" s="33"/>
      <c r="E53" s="33"/>
      <c r="F53" s="33"/>
      <c r="G53" s="32"/>
      <c r="H53" s="34"/>
      <c r="I53" s="34"/>
      <c r="J53" s="34"/>
      <c r="K53" s="34"/>
      <c r="L53" s="35"/>
    </row>
    <row r="54" spans="1:12" ht="15.75" x14ac:dyDescent="0.25">
      <c r="A54" s="31"/>
      <c r="B54" s="32"/>
      <c r="C54" s="32"/>
      <c r="D54" s="33"/>
      <c r="E54" s="33"/>
      <c r="F54" s="33"/>
      <c r="G54" s="32"/>
      <c r="H54" s="34"/>
      <c r="I54" s="34"/>
      <c r="J54" s="34"/>
      <c r="K54" s="34"/>
      <c r="L54" s="35"/>
    </row>
    <row r="55" spans="1:12" ht="15.75" x14ac:dyDescent="0.25">
      <c r="A55" s="31"/>
      <c r="B55" s="32"/>
      <c r="C55" s="32"/>
      <c r="D55" s="33"/>
      <c r="E55" s="33"/>
      <c r="F55" s="33"/>
      <c r="G55" s="32"/>
      <c r="H55" s="34"/>
      <c r="I55" s="34"/>
      <c r="J55" s="34"/>
      <c r="K55" s="34"/>
      <c r="L55" s="35"/>
    </row>
    <row r="56" spans="1:12" ht="15.75" x14ac:dyDescent="0.25">
      <c r="A56" s="31"/>
      <c r="B56" s="32"/>
      <c r="C56" s="32"/>
      <c r="D56" s="33"/>
      <c r="E56" s="33"/>
      <c r="F56" s="33"/>
      <c r="G56" s="32"/>
      <c r="H56" s="34"/>
      <c r="I56" s="34"/>
      <c r="J56" s="34"/>
      <c r="K56" s="34"/>
      <c r="L56" s="35"/>
    </row>
    <row r="57" spans="1:12" ht="15.75" x14ac:dyDescent="0.25">
      <c r="A57" s="31"/>
      <c r="B57" s="32"/>
      <c r="C57" s="32"/>
      <c r="D57" s="33"/>
      <c r="E57" s="33"/>
      <c r="F57" s="33"/>
      <c r="G57" s="32"/>
      <c r="H57" s="34"/>
      <c r="I57" s="34"/>
      <c r="J57" s="34"/>
      <c r="K57" s="34"/>
      <c r="L57" s="35"/>
    </row>
    <row r="58" spans="1:12" ht="15.75" x14ac:dyDescent="0.25">
      <c r="A58" s="31"/>
      <c r="B58" s="32"/>
      <c r="C58" s="32"/>
      <c r="D58" s="33"/>
      <c r="E58" s="33"/>
      <c r="F58" s="33"/>
      <c r="G58" s="32"/>
      <c r="H58" s="34"/>
      <c r="I58" s="34"/>
      <c r="J58" s="34"/>
      <c r="K58" s="34"/>
      <c r="L58" s="35"/>
    </row>
    <row r="59" spans="1:12" ht="15.75" x14ac:dyDescent="0.25">
      <c r="A59" s="31"/>
      <c r="B59" s="32"/>
      <c r="C59" s="32"/>
      <c r="D59" s="33"/>
      <c r="E59" s="33"/>
      <c r="F59" s="33"/>
      <c r="G59" s="32"/>
      <c r="H59" s="34"/>
      <c r="I59" s="34"/>
      <c r="J59" s="34"/>
      <c r="K59" s="34"/>
      <c r="L59" s="35"/>
    </row>
    <row r="60" spans="1:12" ht="15.75" x14ac:dyDescent="0.25">
      <c r="A60" s="31"/>
      <c r="B60" s="32"/>
      <c r="C60" s="32"/>
      <c r="D60" s="33"/>
      <c r="E60" s="33"/>
      <c r="F60" s="33"/>
      <c r="G60" s="32"/>
      <c r="H60" s="34"/>
      <c r="I60" s="34"/>
      <c r="J60" s="34"/>
      <c r="K60" s="34"/>
      <c r="L60" s="35"/>
    </row>
    <row r="61" spans="1:12" ht="15.75" x14ac:dyDescent="0.25">
      <c r="A61" s="31"/>
      <c r="B61" s="32"/>
      <c r="C61" s="32"/>
      <c r="D61" s="33"/>
      <c r="E61" s="33"/>
      <c r="F61" s="33"/>
      <c r="G61" s="32"/>
      <c r="H61" s="34"/>
      <c r="I61" s="34"/>
      <c r="J61" s="34"/>
      <c r="K61" s="34"/>
      <c r="L61" s="35"/>
    </row>
    <row r="62" spans="1:12" ht="15.75" x14ac:dyDescent="0.25">
      <c r="A62" s="31"/>
      <c r="B62" s="32"/>
      <c r="C62" s="32"/>
      <c r="D62" s="33"/>
      <c r="E62" s="33"/>
      <c r="F62" s="33"/>
      <c r="G62" s="32"/>
      <c r="H62" s="34"/>
      <c r="I62" s="34"/>
      <c r="J62" s="34"/>
      <c r="K62" s="34"/>
      <c r="L62" s="35"/>
    </row>
    <row r="63" spans="1:12" ht="15.75" x14ac:dyDescent="0.25">
      <c r="A63" s="31"/>
      <c r="B63" s="32"/>
      <c r="C63" s="32"/>
      <c r="D63" s="33"/>
      <c r="E63" s="33"/>
      <c r="F63" s="33"/>
      <c r="G63" s="32"/>
      <c r="H63" s="34"/>
      <c r="I63" s="34"/>
      <c r="J63" s="34"/>
      <c r="K63" s="34"/>
      <c r="L63" s="35"/>
    </row>
    <row r="64" spans="1:12" ht="15.75" x14ac:dyDescent="0.25">
      <c r="A64" s="31"/>
      <c r="B64" s="32"/>
      <c r="C64" s="32"/>
      <c r="D64" s="33"/>
      <c r="E64" s="33"/>
      <c r="F64" s="33"/>
      <c r="G64" s="32"/>
      <c r="H64" s="34"/>
      <c r="I64" s="34"/>
      <c r="J64" s="34"/>
      <c r="K64" s="34"/>
      <c r="L64" s="35"/>
    </row>
    <row r="65" spans="1:12" ht="15.75" x14ac:dyDescent="0.25">
      <c r="A65" s="31"/>
      <c r="B65" s="32"/>
      <c r="C65" s="32"/>
      <c r="D65" s="33"/>
      <c r="E65" s="33"/>
      <c r="F65" s="33"/>
      <c r="G65" s="32"/>
      <c r="H65" s="34"/>
      <c r="I65" s="34"/>
      <c r="J65" s="34"/>
      <c r="K65" s="34"/>
      <c r="L65" s="35"/>
    </row>
    <row r="66" spans="1:12" ht="15.75" x14ac:dyDescent="0.25">
      <c r="A66" s="31"/>
      <c r="B66" s="32"/>
      <c r="C66" s="32"/>
      <c r="D66" s="33"/>
      <c r="E66" s="33"/>
      <c r="F66" s="33"/>
      <c r="G66" s="32"/>
      <c r="H66" s="34"/>
      <c r="I66" s="34"/>
      <c r="J66" s="34"/>
      <c r="K66" s="34"/>
      <c r="L66" s="35"/>
    </row>
    <row r="67" spans="1:12" ht="15.75" x14ac:dyDescent="0.25">
      <c r="A67" s="31"/>
      <c r="B67" s="32"/>
      <c r="C67" s="32"/>
      <c r="D67" s="33"/>
      <c r="E67" s="33"/>
      <c r="F67" s="33"/>
      <c r="G67" s="32"/>
      <c r="H67" s="34"/>
      <c r="I67" s="34"/>
      <c r="J67" s="34"/>
      <c r="K67" s="34"/>
      <c r="L67" s="35"/>
    </row>
    <row r="68" spans="1:12" ht="15.75" x14ac:dyDescent="0.25">
      <c r="A68" s="31"/>
      <c r="B68" s="32"/>
      <c r="C68" s="32"/>
      <c r="D68" s="33"/>
      <c r="E68" s="33"/>
      <c r="F68" s="33"/>
      <c r="G68" s="32"/>
      <c r="H68" s="34"/>
      <c r="I68" s="34"/>
      <c r="J68" s="34"/>
      <c r="K68" s="34"/>
      <c r="L68" s="35"/>
    </row>
    <row r="69" spans="1:12" ht="15.75" x14ac:dyDescent="0.25">
      <c r="A69" s="31"/>
      <c r="B69" s="32"/>
      <c r="C69" s="32"/>
      <c r="D69" s="33"/>
      <c r="E69" s="33"/>
      <c r="F69" s="33"/>
      <c r="G69" s="32"/>
      <c r="H69" s="34"/>
      <c r="I69" s="34"/>
      <c r="J69" s="34"/>
      <c r="K69" s="34"/>
      <c r="L69" s="35"/>
    </row>
    <row r="70" spans="1:12" ht="15.75" x14ac:dyDescent="0.25">
      <c r="A70" s="31"/>
      <c r="B70" s="32"/>
      <c r="C70" s="32"/>
      <c r="D70" s="33"/>
      <c r="E70" s="33"/>
      <c r="F70" s="33"/>
      <c r="G70" s="32"/>
      <c r="H70" s="34"/>
      <c r="I70" s="34"/>
      <c r="J70" s="34"/>
      <c r="K70" s="34"/>
      <c r="L70" s="35"/>
    </row>
    <row r="71" spans="1:12" ht="15.75" x14ac:dyDescent="0.25">
      <c r="A71" s="31"/>
      <c r="B71" s="32"/>
      <c r="C71" s="32"/>
      <c r="D71" s="33"/>
      <c r="E71" s="33"/>
      <c r="F71" s="33"/>
      <c r="G71" s="32"/>
      <c r="H71" s="34"/>
      <c r="I71" s="34"/>
      <c r="J71" s="34"/>
      <c r="K71" s="34"/>
      <c r="L71" s="35"/>
    </row>
    <row r="72" spans="1:12" ht="15.75" x14ac:dyDescent="0.25">
      <c r="A72" s="31"/>
      <c r="B72" s="32"/>
      <c r="C72" s="32"/>
      <c r="D72" s="33"/>
      <c r="E72" s="33"/>
      <c r="F72" s="33"/>
      <c r="G72" s="32"/>
      <c r="H72" s="34"/>
      <c r="I72" s="34"/>
      <c r="J72" s="34"/>
      <c r="K72" s="34"/>
      <c r="L72" s="35"/>
    </row>
    <row r="73" spans="1:12" ht="15.75" x14ac:dyDescent="0.25">
      <c r="A73" s="31"/>
      <c r="B73" s="32"/>
      <c r="C73" s="32"/>
      <c r="D73" s="33"/>
      <c r="E73" s="33"/>
      <c r="F73" s="33"/>
      <c r="G73" s="32"/>
      <c r="H73" s="34"/>
      <c r="I73" s="34"/>
      <c r="J73" s="34"/>
      <c r="K73" s="34"/>
      <c r="L73" s="35"/>
    </row>
    <row r="74" spans="1:12" ht="15.75" x14ac:dyDescent="0.25">
      <c r="A74" s="31"/>
      <c r="B74" s="32"/>
      <c r="C74" s="32"/>
      <c r="D74" s="33"/>
      <c r="E74" s="33"/>
      <c r="F74" s="33"/>
      <c r="G74" s="32"/>
      <c r="H74" s="34"/>
      <c r="I74" s="34"/>
      <c r="J74" s="34"/>
      <c r="K74" s="34"/>
      <c r="L74" s="35"/>
    </row>
    <row r="75" spans="1:12" ht="15.75" x14ac:dyDescent="0.25">
      <c r="A75" s="31"/>
      <c r="B75" s="32"/>
      <c r="C75" s="32"/>
      <c r="D75" s="33"/>
      <c r="E75" s="33"/>
      <c r="F75" s="33"/>
      <c r="G75" s="32"/>
      <c r="H75" s="34"/>
      <c r="I75" s="34"/>
      <c r="J75" s="34"/>
      <c r="K75" s="34"/>
      <c r="L75" s="35"/>
    </row>
    <row r="76" spans="1:12" ht="15.75" x14ac:dyDescent="0.25">
      <c r="A76" s="31"/>
      <c r="B76" s="32"/>
      <c r="C76" s="32"/>
      <c r="D76" s="33"/>
      <c r="E76" s="33"/>
      <c r="F76" s="33"/>
      <c r="G76" s="32"/>
      <c r="H76" s="34"/>
      <c r="I76" s="34"/>
      <c r="J76" s="34"/>
      <c r="K76" s="34"/>
      <c r="L76" s="35"/>
    </row>
    <row r="77" spans="1:12" ht="15.75" x14ac:dyDescent="0.25">
      <c r="A77" s="31"/>
      <c r="B77" s="32"/>
      <c r="C77" s="32"/>
      <c r="D77" s="33"/>
      <c r="E77" s="33"/>
      <c r="F77" s="33"/>
      <c r="G77" s="32"/>
      <c r="H77" s="34"/>
      <c r="I77" s="34"/>
      <c r="J77" s="34"/>
      <c r="K77" s="34"/>
      <c r="L77" s="35"/>
    </row>
    <row r="78" spans="1:12" ht="15.75" x14ac:dyDescent="0.25">
      <c r="A78" s="31"/>
      <c r="B78" s="32"/>
      <c r="C78" s="32"/>
      <c r="D78" s="33"/>
      <c r="E78" s="33"/>
      <c r="F78" s="33"/>
      <c r="G78" s="32"/>
      <c r="H78" s="34"/>
      <c r="I78" s="34"/>
      <c r="J78" s="34"/>
      <c r="K78" s="34"/>
      <c r="L78" s="35"/>
    </row>
    <row r="79" spans="1:12" ht="15.75" x14ac:dyDescent="0.25">
      <c r="A79" s="31"/>
      <c r="B79" s="32"/>
      <c r="C79" s="32"/>
      <c r="D79" s="33"/>
      <c r="E79" s="33"/>
      <c r="F79" s="33"/>
      <c r="G79" s="32"/>
      <c r="H79" s="34"/>
      <c r="I79" s="34"/>
      <c r="J79" s="34"/>
      <c r="K79" s="34"/>
      <c r="L79" s="35"/>
    </row>
    <row r="80" spans="1:12" ht="15.75" x14ac:dyDescent="0.25">
      <c r="A80" s="31"/>
      <c r="B80" s="32"/>
      <c r="C80" s="32"/>
      <c r="D80" s="33"/>
      <c r="E80" s="33"/>
      <c r="F80" s="33"/>
      <c r="G80" s="32"/>
      <c r="H80" s="36"/>
      <c r="I80" s="37"/>
      <c r="J80" s="37"/>
      <c r="K80" s="37"/>
      <c r="L80" s="38"/>
    </row>
    <row r="81" spans="1:12" ht="15.75" x14ac:dyDescent="0.25">
      <c r="A81" s="31"/>
      <c r="B81" s="32"/>
      <c r="C81" s="32"/>
      <c r="D81" s="33"/>
      <c r="E81" s="33"/>
      <c r="F81" s="33"/>
      <c r="G81" s="32"/>
      <c r="H81" s="36"/>
      <c r="I81" s="37"/>
      <c r="J81" s="37"/>
      <c r="K81" s="37"/>
      <c r="L81" s="38"/>
    </row>
    <row r="82" spans="1:12" ht="15.75" x14ac:dyDescent="0.25">
      <c r="A82" s="31"/>
      <c r="B82" s="32"/>
      <c r="C82" s="32"/>
      <c r="D82" s="33"/>
      <c r="E82" s="33"/>
      <c r="F82" s="33"/>
      <c r="G82" s="32"/>
      <c r="H82" s="36"/>
      <c r="I82" s="37"/>
      <c r="J82" s="37"/>
      <c r="K82" s="37"/>
      <c r="L82" s="38"/>
    </row>
    <row r="83" spans="1:12" ht="15.75" x14ac:dyDescent="0.25">
      <c r="A83" s="31"/>
      <c r="B83" s="32"/>
      <c r="C83" s="32"/>
      <c r="D83" s="33"/>
      <c r="E83" s="33"/>
      <c r="F83" s="33"/>
      <c r="G83" s="32"/>
      <c r="H83" s="36"/>
      <c r="I83" s="37"/>
      <c r="J83" s="37"/>
      <c r="K83" s="37"/>
      <c r="L83" s="38"/>
    </row>
    <row r="84" spans="1:12" ht="15.75" x14ac:dyDescent="0.25">
      <c r="A84" s="31"/>
      <c r="B84" s="32"/>
      <c r="C84" s="32"/>
      <c r="D84" s="33"/>
      <c r="E84" s="33"/>
      <c r="F84" s="33"/>
      <c r="G84" s="32"/>
      <c r="H84" s="36"/>
      <c r="I84" s="37"/>
      <c r="J84" s="37"/>
      <c r="K84" s="37"/>
      <c r="L84" s="38"/>
    </row>
    <row r="85" spans="1:12" ht="15.75" x14ac:dyDescent="0.25">
      <c r="A85" s="31"/>
      <c r="B85" s="32"/>
      <c r="C85" s="32"/>
      <c r="D85" s="33"/>
      <c r="E85" s="33"/>
      <c r="F85" s="33"/>
      <c r="G85" s="32"/>
      <c r="H85" s="36"/>
      <c r="I85" s="37"/>
      <c r="J85" s="37"/>
      <c r="K85" s="37"/>
      <c r="L85" s="38"/>
    </row>
    <row r="86" spans="1:12" ht="15.75" x14ac:dyDescent="0.25">
      <c r="A86" s="31"/>
      <c r="B86" s="32"/>
      <c r="C86" s="32"/>
      <c r="D86" s="33"/>
      <c r="E86" s="33"/>
      <c r="F86" s="33"/>
      <c r="G86" s="32"/>
      <c r="H86" s="36"/>
      <c r="I86" s="37"/>
      <c r="J86" s="37"/>
      <c r="K86" s="37"/>
      <c r="L86" s="38"/>
    </row>
    <row r="87" spans="1:12" ht="15.75" x14ac:dyDescent="0.25">
      <c r="A87" s="31"/>
      <c r="B87" s="32"/>
      <c r="C87" s="32"/>
      <c r="D87" s="33"/>
      <c r="E87" s="33"/>
      <c r="F87" s="33"/>
      <c r="G87" s="32"/>
      <c r="H87" s="36"/>
      <c r="I87" s="37"/>
      <c r="J87" s="37"/>
      <c r="K87" s="37"/>
      <c r="L87" s="38"/>
    </row>
    <row r="88" spans="1:12" ht="15.75" x14ac:dyDescent="0.25">
      <c r="A88" s="31"/>
      <c r="B88" s="32"/>
      <c r="C88" s="32"/>
      <c r="D88" s="33"/>
      <c r="E88" s="33"/>
      <c r="F88" s="33"/>
      <c r="G88" s="32"/>
      <c r="H88" s="36"/>
      <c r="I88" s="37"/>
      <c r="J88" s="37"/>
      <c r="K88" s="37"/>
      <c r="L88" s="38"/>
    </row>
    <row r="89" spans="1:12" ht="15.75" x14ac:dyDescent="0.25">
      <c r="A89" s="31"/>
      <c r="B89" s="32"/>
      <c r="C89" s="32"/>
      <c r="D89" s="33"/>
      <c r="E89" s="33"/>
      <c r="F89" s="33"/>
      <c r="G89" s="32"/>
      <c r="H89" s="36"/>
      <c r="I89" s="37"/>
      <c r="J89" s="37"/>
      <c r="K89" s="37"/>
      <c r="L89" s="38"/>
    </row>
    <row r="90" spans="1:12" ht="15.75" x14ac:dyDescent="0.25">
      <c r="A90" s="31"/>
      <c r="B90" s="32"/>
      <c r="C90" s="32"/>
      <c r="D90" s="33"/>
      <c r="E90" s="33"/>
      <c r="F90" s="33"/>
      <c r="G90" s="32"/>
      <c r="H90" s="36"/>
      <c r="I90" s="37"/>
      <c r="J90" s="37"/>
      <c r="K90" s="37"/>
      <c r="L90" s="38"/>
    </row>
    <row r="91" spans="1:12" ht="15.75" x14ac:dyDescent="0.25">
      <c r="A91" s="31"/>
      <c r="B91" s="32"/>
      <c r="C91" s="32"/>
      <c r="D91" s="33"/>
      <c r="E91" s="33"/>
      <c r="F91" s="33"/>
      <c r="G91" s="32"/>
      <c r="H91" s="36"/>
      <c r="I91" s="37"/>
      <c r="J91" s="37"/>
      <c r="K91" s="37"/>
      <c r="L91" s="38"/>
    </row>
    <row r="92" spans="1:12" ht="15.75" x14ac:dyDescent="0.25">
      <c r="A92" s="31"/>
      <c r="B92" s="32"/>
      <c r="C92" s="32"/>
      <c r="D92" s="33"/>
      <c r="E92" s="33"/>
      <c r="F92" s="33"/>
      <c r="G92" s="32"/>
      <c r="H92" s="36"/>
      <c r="I92" s="37"/>
      <c r="J92" s="37"/>
      <c r="K92" s="37"/>
      <c r="L92" s="38"/>
    </row>
    <row r="93" spans="1:12" ht="15.75" x14ac:dyDescent="0.25">
      <c r="A93" s="31"/>
      <c r="B93" s="32"/>
      <c r="C93" s="32"/>
      <c r="D93" s="33"/>
      <c r="E93" s="33"/>
      <c r="F93" s="33"/>
      <c r="G93" s="32"/>
      <c r="H93" s="36"/>
      <c r="I93" s="37"/>
      <c r="J93" s="37"/>
      <c r="K93" s="37"/>
      <c r="L93" s="38"/>
    </row>
    <row r="94" spans="1:12" ht="15.75" x14ac:dyDescent="0.25">
      <c r="A94" s="31"/>
      <c r="B94" s="32"/>
      <c r="C94" s="32"/>
      <c r="D94" s="33"/>
      <c r="E94" s="33"/>
      <c r="F94" s="33"/>
      <c r="G94" s="32"/>
      <c r="H94" s="36"/>
      <c r="I94" s="37"/>
      <c r="J94" s="37"/>
      <c r="K94" s="37"/>
      <c r="L94" s="38"/>
    </row>
    <row r="95" spans="1:12" ht="15.75" x14ac:dyDescent="0.25">
      <c r="A95" s="31"/>
      <c r="B95" s="32"/>
      <c r="C95" s="32"/>
      <c r="D95" s="33"/>
      <c r="E95" s="33"/>
      <c r="F95" s="33"/>
      <c r="G95" s="32"/>
      <c r="H95" s="36"/>
      <c r="I95" s="37"/>
      <c r="J95" s="37"/>
      <c r="K95" s="37"/>
      <c r="L95" s="38"/>
    </row>
    <row r="96" spans="1:12" ht="15.75" x14ac:dyDescent="0.25">
      <c r="A96" s="31"/>
      <c r="B96" s="32"/>
      <c r="C96" s="32"/>
      <c r="D96" s="33"/>
      <c r="E96" s="33"/>
      <c r="F96" s="33"/>
      <c r="G96" s="32"/>
      <c r="H96" s="36"/>
      <c r="I96" s="37"/>
      <c r="J96" s="37"/>
      <c r="K96" s="37"/>
      <c r="L96" s="38"/>
    </row>
    <row r="97" spans="1:12" ht="15.75" x14ac:dyDescent="0.25">
      <c r="A97" s="31"/>
      <c r="B97" s="32"/>
      <c r="C97" s="32"/>
      <c r="D97" s="33"/>
      <c r="E97" s="33"/>
      <c r="F97" s="33"/>
      <c r="G97" s="32"/>
      <c r="H97" s="36"/>
      <c r="I97" s="37"/>
      <c r="J97" s="37"/>
      <c r="K97" s="37"/>
      <c r="L97" s="38"/>
    </row>
    <row r="98" spans="1:12" ht="15.75" x14ac:dyDescent="0.25">
      <c r="A98" s="31"/>
      <c r="B98" s="32"/>
      <c r="C98" s="32"/>
      <c r="D98" s="33"/>
      <c r="E98" s="33"/>
      <c r="F98" s="33"/>
      <c r="G98" s="32"/>
      <c r="H98" s="36"/>
      <c r="I98" s="37"/>
      <c r="J98" s="37"/>
      <c r="K98" s="37"/>
      <c r="L98" s="38"/>
    </row>
    <row r="99" spans="1:12" ht="15.75" x14ac:dyDescent="0.25">
      <c r="A99" s="31"/>
      <c r="B99" s="32"/>
      <c r="C99" s="32"/>
      <c r="D99" s="33"/>
      <c r="E99" s="33"/>
      <c r="F99" s="33"/>
      <c r="G99" s="32"/>
      <c r="H99" s="36"/>
      <c r="I99" s="37"/>
      <c r="J99" s="37"/>
      <c r="K99" s="37"/>
      <c r="L99" s="38"/>
    </row>
    <row r="100" spans="1:12" ht="15.75" x14ac:dyDescent="0.25">
      <c r="A100" s="31"/>
      <c r="B100" s="32"/>
      <c r="C100" s="32"/>
      <c r="D100" s="33"/>
      <c r="E100" s="33"/>
      <c r="F100" s="33"/>
      <c r="G100" s="32"/>
      <c r="H100" s="36"/>
      <c r="I100" s="37"/>
      <c r="J100" s="37"/>
      <c r="K100" s="37"/>
      <c r="L100" s="38"/>
    </row>
    <row r="101" spans="1:12" ht="15.75" x14ac:dyDescent="0.25">
      <c r="A101" s="31"/>
      <c r="B101" s="32"/>
      <c r="C101" s="32"/>
      <c r="D101" s="33"/>
      <c r="E101" s="33"/>
      <c r="F101" s="33"/>
      <c r="G101" s="32"/>
      <c r="H101" s="36"/>
      <c r="I101" s="37"/>
      <c r="J101" s="37"/>
      <c r="K101" s="37"/>
      <c r="L101" s="38"/>
    </row>
    <row r="102" spans="1:12" ht="15.75" x14ac:dyDescent="0.25">
      <c r="A102" s="31"/>
      <c r="B102" s="32"/>
      <c r="C102" s="32"/>
      <c r="D102" s="33"/>
      <c r="E102" s="33"/>
      <c r="F102" s="33"/>
      <c r="G102" s="32"/>
      <c r="H102" s="36"/>
      <c r="I102" s="37"/>
      <c r="J102" s="37"/>
      <c r="K102" s="37"/>
      <c r="L102" s="38"/>
    </row>
    <row r="103" spans="1:12" ht="15.75" x14ac:dyDescent="0.25">
      <c r="A103" s="31"/>
      <c r="B103" s="32"/>
      <c r="C103" s="32"/>
      <c r="D103" s="33"/>
      <c r="E103" s="33"/>
      <c r="F103" s="33"/>
      <c r="G103" s="32"/>
      <c r="H103" s="36"/>
      <c r="I103" s="37"/>
      <c r="J103" s="37"/>
      <c r="K103" s="37"/>
      <c r="L103" s="38"/>
    </row>
    <row r="104" spans="1:12" ht="15.75" x14ac:dyDescent="0.25">
      <c r="A104" s="31"/>
      <c r="B104" s="32"/>
      <c r="C104" s="32"/>
      <c r="D104" s="33"/>
      <c r="E104" s="33"/>
      <c r="F104" s="33"/>
      <c r="G104" s="32"/>
      <c r="H104" s="36"/>
      <c r="I104" s="37"/>
      <c r="J104" s="37"/>
      <c r="K104" s="37"/>
      <c r="L104" s="38"/>
    </row>
    <row r="105" spans="1:12" ht="15.75" x14ac:dyDescent="0.25">
      <c r="A105" s="31"/>
      <c r="B105" s="32"/>
      <c r="C105" s="32"/>
      <c r="D105" s="33"/>
      <c r="E105" s="33"/>
      <c r="F105" s="33"/>
      <c r="G105" s="32"/>
      <c r="H105" s="36"/>
      <c r="I105" s="37"/>
      <c r="J105" s="37"/>
      <c r="K105" s="37"/>
      <c r="L105" s="38"/>
    </row>
    <row r="106" spans="1:12" ht="15.75" x14ac:dyDescent="0.25">
      <c r="A106" s="31"/>
      <c r="B106" s="32"/>
      <c r="C106" s="32"/>
      <c r="D106" s="33"/>
      <c r="E106" s="33"/>
      <c r="F106" s="33"/>
      <c r="G106" s="32"/>
      <c r="H106" s="36"/>
      <c r="I106" s="37"/>
      <c r="J106" s="37"/>
      <c r="K106" s="37"/>
      <c r="L106" s="38"/>
    </row>
    <row r="107" spans="1:12" ht="15.75" x14ac:dyDescent="0.25">
      <c r="A107" s="31"/>
      <c r="B107" s="32"/>
      <c r="C107" s="32"/>
      <c r="D107" s="33"/>
      <c r="E107" s="33"/>
      <c r="F107" s="33"/>
      <c r="G107" s="32"/>
      <c r="H107" s="36"/>
      <c r="I107" s="37"/>
      <c r="J107" s="37"/>
      <c r="K107" s="37"/>
      <c r="L107" s="38"/>
    </row>
    <row r="108" spans="1:12" ht="15.75" x14ac:dyDescent="0.25">
      <c r="A108" s="31"/>
      <c r="B108" s="32"/>
      <c r="C108" s="32"/>
      <c r="D108" s="33"/>
      <c r="E108" s="33"/>
      <c r="F108" s="33"/>
      <c r="G108" s="32"/>
      <c r="H108" s="36"/>
      <c r="I108" s="37"/>
      <c r="J108" s="37"/>
      <c r="K108" s="37"/>
      <c r="L108" s="38"/>
    </row>
    <row r="109" spans="1:12" ht="15.75" x14ac:dyDescent="0.25">
      <c r="A109" s="31"/>
      <c r="B109" s="32"/>
      <c r="C109" s="32"/>
      <c r="D109" s="33"/>
      <c r="E109" s="33"/>
      <c r="F109" s="33"/>
      <c r="G109" s="32"/>
      <c r="H109" s="36"/>
      <c r="I109" s="37"/>
      <c r="J109" s="37"/>
      <c r="K109" s="37"/>
      <c r="L109" s="38"/>
    </row>
    <row r="110" spans="1:12" ht="15.75" x14ac:dyDescent="0.25">
      <c r="A110" s="31"/>
      <c r="B110" s="32"/>
      <c r="C110" s="32"/>
      <c r="D110" s="39"/>
      <c r="E110" s="39"/>
      <c r="F110" s="39"/>
      <c r="G110" s="32"/>
      <c r="H110" s="36"/>
      <c r="I110" s="37"/>
      <c r="J110" s="37"/>
      <c r="K110" s="37"/>
      <c r="L110" s="38"/>
    </row>
    <row r="111" spans="1:12" ht="15.75" x14ac:dyDescent="0.25">
      <c r="A111" s="31"/>
      <c r="B111" s="32"/>
      <c r="C111" s="32"/>
      <c r="D111" s="33"/>
      <c r="E111" s="33"/>
      <c r="F111" s="33"/>
      <c r="G111" s="32"/>
      <c r="H111" s="36"/>
      <c r="I111" s="37"/>
      <c r="J111" s="37"/>
      <c r="K111" s="37"/>
      <c r="L111" s="38"/>
    </row>
    <row r="112" spans="1:12" ht="15.75" x14ac:dyDescent="0.25">
      <c r="A112" s="31"/>
      <c r="B112" s="32"/>
      <c r="C112" s="32"/>
      <c r="D112" s="33"/>
      <c r="E112" s="33"/>
      <c r="F112" s="33"/>
      <c r="G112" s="32"/>
      <c r="H112" s="40"/>
      <c r="I112" s="41"/>
      <c r="J112" s="40"/>
      <c r="K112" s="42"/>
      <c r="L112" s="43"/>
    </row>
    <row r="113" spans="1:12" ht="15.75" x14ac:dyDescent="0.25">
      <c r="A113" s="31"/>
      <c r="B113" s="32"/>
      <c r="C113" s="32"/>
      <c r="D113" s="33"/>
      <c r="E113" s="33"/>
      <c r="F113" s="33"/>
      <c r="G113" s="32"/>
      <c r="H113" s="42"/>
      <c r="I113" s="44"/>
      <c r="J113" s="42"/>
      <c r="K113" s="42"/>
      <c r="L113" s="43"/>
    </row>
    <row r="114" spans="1:12" ht="15.75" x14ac:dyDescent="0.25">
      <c r="A114" s="31"/>
      <c r="B114" s="32"/>
      <c r="C114" s="32"/>
      <c r="D114" s="33"/>
      <c r="E114" s="33"/>
      <c r="F114" s="33"/>
      <c r="G114" s="32"/>
      <c r="H114" s="42"/>
      <c r="I114" s="44"/>
      <c r="J114" s="42"/>
      <c r="K114" s="42"/>
      <c r="L114" s="43"/>
    </row>
    <row r="115" spans="1:12" ht="15.75" x14ac:dyDescent="0.25">
      <c r="A115" s="31"/>
      <c r="B115" s="32"/>
      <c r="C115" s="32"/>
      <c r="D115" s="33"/>
      <c r="E115" s="33"/>
      <c r="F115" s="33"/>
      <c r="G115" s="32"/>
      <c r="H115" s="42"/>
      <c r="I115" s="44"/>
      <c r="J115" s="42"/>
      <c r="K115" s="42"/>
      <c r="L115" s="43"/>
    </row>
    <row r="116" spans="1:12" ht="15.75" x14ac:dyDescent="0.25">
      <c r="A116" s="31"/>
      <c r="B116" s="32"/>
      <c r="C116" s="32"/>
      <c r="D116" s="33"/>
      <c r="E116" s="33"/>
      <c r="F116" s="33"/>
      <c r="G116" s="32"/>
      <c r="H116" s="42"/>
      <c r="I116" s="44"/>
      <c r="J116" s="42"/>
      <c r="K116" s="42"/>
      <c r="L116" s="43"/>
    </row>
    <row r="117" spans="1:12" ht="15.75" x14ac:dyDescent="0.25">
      <c r="A117" s="31"/>
      <c r="B117" s="32"/>
      <c r="C117" s="32"/>
      <c r="D117" s="33"/>
      <c r="E117" s="33"/>
      <c r="F117" s="33"/>
      <c r="G117" s="32"/>
      <c r="H117" s="42"/>
      <c r="I117" s="44"/>
      <c r="J117" s="42"/>
      <c r="K117" s="42"/>
      <c r="L117" s="43"/>
    </row>
    <row r="118" spans="1:12" ht="15.75" x14ac:dyDescent="0.25">
      <c r="A118" s="31"/>
      <c r="B118" s="32"/>
      <c r="C118" s="32"/>
      <c r="D118" s="33"/>
      <c r="E118" s="33"/>
      <c r="F118" s="33"/>
      <c r="G118" s="32"/>
      <c r="H118" s="42"/>
      <c r="I118" s="44"/>
      <c r="J118" s="42"/>
      <c r="K118" s="42"/>
      <c r="L118" s="43"/>
    </row>
    <row r="119" spans="1:12" ht="15.75" x14ac:dyDescent="0.25">
      <c r="A119" s="31"/>
      <c r="B119" s="32"/>
      <c r="C119" s="32"/>
      <c r="D119" s="33"/>
      <c r="E119" s="33"/>
      <c r="F119" s="33"/>
      <c r="G119" s="32"/>
      <c r="H119" s="42"/>
      <c r="I119" s="44"/>
      <c r="J119" s="42"/>
      <c r="K119" s="42"/>
      <c r="L119" s="43"/>
    </row>
    <row r="120" spans="1:12" ht="15.75" x14ac:dyDescent="0.25">
      <c r="A120" s="31"/>
      <c r="B120" s="32"/>
      <c r="C120" s="32"/>
      <c r="D120" s="33"/>
      <c r="E120" s="33"/>
      <c r="F120" s="33"/>
      <c r="G120" s="32"/>
      <c r="H120" s="42"/>
      <c r="I120" s="44"/>
      <c r="J120" s="42"/>
      <c r="K120" s="42"/>
      <c r="L120" s="43"/>
    </row>
    <row r="121" spans="1:12" ht="15.75" x14ac:dyDescent="0.25">
      <c r="A121" s="31"/>
      <c r="B121" s="32"/>
      <c r="C121" s="32"/>
      <c r="D121" s="33"/>
      <c r="E121" s="33"/>
      <c r="F121" s="33"/>
      <c r="G121" s="32"/>
      <c r="H121" s="40"/>
      <c r="I121" s="44"/>
      <c r="J121" s="42"/>
      <c r="K121" s="42"/>
      <c r="L121" s="43"/>
    </row>
    <row r="122" spans="1:12" ht="15.75" x14ac:dyDescent="0.25">
      <c r="A122" s="31"/>
      <c r="B122" s="32"/>
      <c r="C122" s="32"/>
      <c r="D122" s="33"/>
      <c r="E122" s="33"/>
      <c r="F122" s="33"/>
      <c r="G122" s="32"/>
      <c r="H122" s="42"/>
      <c r="I122" s="44"/>
      <c r="J122" s="42"/>
      <c r="K122" s="42"/>
      <c r="L122" s="43"/>
    </row>
    <row r="123" spans="1:12" ht="15.75" x14ac:dyDescent="0.25">
      <c r="A123" s="31"/>
      <c r="B123" s="32"/>
      <c r="C123" s="32"/>
      <c r="D123" s="33"/>
      <c r="E123" s="33"/>
      <c r="F123" s="33"/>
      <c r="G123" s="32"/>
      <c r="H123" s="42"/>
      <c r="I123" s="44"/>
      <c r="J123" s="42"/>
      <c r="K123" s="42"/>
      <c r="L123" s="43"/>
    </row>
    <row r="124" spans="1:12" ht="15.75" x14ac:dyDescent="0.25">
      <c r="A124" s="31"/>
      <c r="B124" s="32"/>
      <c r="C124" s="32"/>
      <c r="D124" s="33"/>
      <c r="E124" s="33"/>
      <c r="F124" s="33"/>
      <c r="G124" s="32"/>
      <c r="H124" s="42"/>
      <c r="I124" s="44"/>
      <c r="J124" s="42"/>
      <c r="K124" s="42"/>
      <c r="L124" s="43"/>
    </row>
    <row r="125" spans="1:12" ht="15.75" x14ac:dyDescent="0.25">
      <c r="A125" s="31"/>
      <c r="B125" s="32"/>
      <c r="C125" s="32"/>
      <c r="D125" s="33"/>
      <c r="E125" s="33"/>
      <c r="F125" s="33"/>
      <c r="G125" s="32"/>
      <c r="H125" s="42"/>
      <c r="I125" s="44"/>
      <c r="J125" s="42"/>
      <c r="K125" s="42"/>
      <c r="L125" s="43"/>
    </row>
    <row r="126" spans="1:12" ht="15.75" x14ac:dyDescent="0.25">
      <c r="A126" s="31"/>
      <c r="B126" s="32"/>
      <c r="C126" s="32"/>
      <c r="D126" s="33"/>
      <c r="E126" s="33"/>
      <c r="F126" s="33"/>
      <c r="G126" s="32"/>
      <c r="H126" s="42"/>
      <c r="I126" s="44"/>
      <c r="J126" s="42"/>
      <c r="K126" s="42"/>
      <c r="L126" s="43"/>
    </row>
    <row r="127" spans="1:12" ht="15.75" x14ac:dyDescent="0.25">
      <c r="A127" s="31"/>
      <c r="B127" s="32"/>
      <c r="C127" s="32"/>
      <c r="D127" s="33"/>
      <c r="E127" s="33"/>
      <c r="F127" s="33"/>
      <c r="G127" s="32"/>
      <c r="H127" s="42"/>
      <c r="I127" s="44"/>
      <c r="J127" s="42"/>
      <c r="K127" s="42"/>
      <c r="L127" s="43"/>
    </row>
    <row r="128" spans="1:12" ht="15.75" x14ac:dyDescent="0.25">
      <c r="A128" s="31"/>
      <c r="B128" s="32"/>
      <c r="C128" s="32"/>
      <c r="D128" s="33"/>
      <c r="E128" s="33"/>
      <c r="F128" s="33"/>
      <c r="G128" s="32"/>
      <c r="H128" s="42"/>
      <c r="I128" s="44"/>
      <c r="J128" s="42"/>
      <c r="K128" s="42"/>
      <c r="L128" s="43"/>
    </row>
    <row r="129" spans="1:12" ht="15.75" x14ac:dyDescent="0.25">
      <c r="A129" s="31"/>
      <c r="B129" s="32"/>
      <c r="C129" s="32"/>
      <c r="D129" s="33"/>
      <c r="E129" s="33"/>
      <c r="F129" s="33"/>
      <c r="G129" s="32"/>
      <c r="H129" s="40"/>
      <c r="I129" s="44"/>
      <c r="J129" s="42"/>
      <c r="K129" s="42"/>
      <c r="L129" s="43"/>
    </row>
    <row r="130" spans="1:12" ht="15.75" x14ac:dyDescent="0.25">
      <c r="A130" s="31"/>
      <c r="B130" s="32"/>
      <c r="C130" s="32"/>
      <c r="D130" s="33"/>
      <c r="E130" s="33"/>
      <c r="F130" s="33"/>
      <c r="G130" s="32"/>
      <c r="H130" s="42"/>
      <c r="I130" s="44"/>
      <c r="J130" s="42"/>
      <c r="K130" s="42"/>
      <c r="L130" s="43"/>
    </row>
    <row r="131" spans="1:12" ht="15.75" x14ac:dyDescent="0.25">
      <c r="A131" s="31"/>
      <c r="B131" s="32"/>
      <c r="C131" s="32"/>
      <c r="D131" s="33"/>
      <c r="E131" s="33"/>
      <c r="F131" s="33"/>
      <c r="G131" s="32"/>
      <c r="H131" s="40"/>
      <c r="I131" s="44"/>
      <c r="J131" s="42"/>
      <c r="K131" s="42"/>
      <c r="L131" s="43"/>
    </row>
    <row r="132" spans="1:12" ht="15.75" x14ac:dyDescent="0.25">
      <c r="A132" s="31"/>
      <c r="B132" s="32"/>
      <c r="C132" s="32"/>
      <c r="D132" s="33"/>
      <c r="E132" s="33"/>
      <c r="F132" s="33"/>
      <c r="G132" s="32"/>
      <c r="H132" s="42"/>
      <c r="I132" s="44"/>
      <c r="J132" s="42"/>
      <c r="K132" s="42"/>
      <c r="L132" s="43"/>
    </row>
    <row r="133" spans="1:12" ht="15.75" x14ac:dyDescent="0.25">
      <c r="A133" s="31"/>
      <c r="B133" s="32"/>
      <c r="C133" s="32"/>
      <c r="D133" s="33"/>
      <c r="E133" s="33"/>
      <c r="F133" s="33"/>
      <c r="G133" s="32"/>
      <c r="H133" s="42"/>
      <c r="I133" s="44"/>
      <c r="J133" s="42"/>
      <c r="K133" s="42"/>
      <c r="L133" s="43"/>
    </row>
    <row r="134" spans="1:12" ht="15.75" x14ac:dyDescent="0.25">
      <c r="A134" s="31"/>
      <c r="B134" s="32"/>
      <c r="C134" s="32"/>
      <c r="D134" s="33"/>
      <c r="E134" s="33"/>
      <c r="F134" s="33"/>
      <c r="G134" s="32"/>
      <c r="H134" s="42"/>
      <c r="I134" s="44"/>
      <c r="J134" s="42"/>
      <c r="K134" s="42"/>
      <c r="L134" s="43"/>
    </row>
    <row r="135" spans="1:12" ht="15.75" x14ac:dyDescent="0.25">
      <c r="A135" s="31"/>
      <c r="B135" s="32"/>
      <c r="C135" s="32"/>
      <c r="D135" s="33"/>
      <c r="E135" s="33"/>
      <c r="F135" s="33"/>
      <c r="G135" s="32"/>
      <c r="H135" s="42"/>
      <c r="I135" s="44"/>
      <c r="J135" s="42"/>
      <c r="K135" s="42"/>
      <c r="L135" s="43"/>
    </row>
    <row r="136" spans="1:12" ht="15.75" x14ac:dyDescent="0.25">
      <c r="A136" s="31"/>
      <c r="B136" s="32"/>
      <c r="C136" s="32"/>
      <c r="D136" s="33"/>
      <c r="E136" s="33"/>
      <c r="F136" s="33"/>
      <c r="G136" s="32"/>
      <c r="H136" s="40"/>
      <c r="I136" s="44"/>
      <c r="J136" s="42"/>
      <c r="K136" s="42"/>
      <c r="L136" s="43"/>
    </row>
    <row r="137" spans="1:12" ht="15.75" x14ac:dyDescent="0.25">
      <c r="A137" s="31"/>
      <c r="B137" s="32"/>
      <c r="C137" s="32"/>
      <c r="D137" s="33"/>
      <c r="E137" s="33"/>
      <c r="F137" s="33"/>
      <c r="G137" s="32"/>
      <c r="H137" s="42"/>
      <c r="I137" s="44"/>
      <c r="J137" s="42"/>
      <c r="K137" s="42"/>
      <c r="L137" s="43"/>
    </row>
    <row r="138" spans="1:12" ht="15.75" x14ac:dyDescent="0.25">
      <c r="A138" s="31"/>
      <c r="B138" s="32"/>
      <c r="C138" s="32"/>
      <c r="D138" s="33"/>
      <c r="E138" s="33"/>
      <c r="F138" s="33"/>
      <c r="G138" s="32"/>
      <c r="H138" s="42"/>
      <c r="I138" s="44"/>
      <c r="J138" s="42"/>
      <c r="K138" s="42"/>
      <c r="L138" s="43"/>
    </row>
    <row r="139" spans="1:12" ht="15.75" x14ac:dyDescent="0.25">
      <c r="A139" s="31"/>
      <c r="B139" s="32"/>
      <c r="C139" s="32"/>
      <c r="D139" s="33"/>
      <c r="E139" s="33"/>
      <c r="F139" s="33"/>
      <c r="G139" s="32"/>
      <c r="H139" s="42"/>
      <c r="I139" s="44"/>
      <c r="J139" s="42"/>
      <c r="K139" s="42"/>
      <c r="L139" s="43"/>
    </row>
    <row r="140" spans="1:12" ht="15.75" x14ac:dyDescent="0.25">
      <c r="A140" s="31"/>
      <c r="B140" s="32"/>
      <c r="C140" s="32"/>
      <c r="D140" s="33"/>
      <c r="E140" s="33"/>
      <c r="F140" s="33"/>
      <c r="G140" s="32"/>
      <c r="H140" s="42"/>
      <c r="I140" s="44"/>
      <c r="J140" s="42"/>
      <c r="K140" s="42"/>
      <c r="L140" s="43"/>
    </row>
    <row r="141" spans="1:12" ht="15.75" x14ac:dyDescent="0.25">
      <c r="A141" s="31"/>
      <c r="B141" s="32"/>
      <c r="C141" s="32"/>
      <c r="D141" s="33"/>
      <c r="E141" s="33"/>
      <c r="F141" s="33"/>
      <c r="G141" s="32"/>
      <c r="H141" s="36"/>
      <c r="I141" s="37"/>
      <c r="J141" s="36"/>
      <c r="K141" s="36"/>
      <c r="L141" s="38"/>
    </row>
    <row r="142" spans="1:12" ht="15.75" x14ac:dyDescent="0.25">
      <c r="A142" s="31"/>
      <c r="B142" s="32"/>
      <c r="C142" s="32"/>
      <c r="D142" s="33"/>
      <c r="E142" s="33"/>
      <c r="F142" s="33"/>
      <c r="G142" s="32"/>
      <c r="H142" s="36"/>
      <c r="I142" s="37"/>
      <c r="J142" s="36"/>
      <c r="K142" s="36"/>
      <c r="L142" s="38"/>
    </row>
    <row r="143" spans="1:12" ht="15.75" x14ac:dyDescent="0.25">
      <c r="A143" s="31"/>
      <c r="B143" s="32"/>
      <c r="C143" s="32"/>
      <c r="D143" s="33"/>
      <c r="E143" s="33"/>
      <c r="F143" s="33"/>
      <c r="G143" s="32"/>
      <c r="H143" s="36"/>
      <c r="I143" s="37"/>
      <c r="J143" s="36"/>
      <c r="K143" s="36"/>
      <c r="L143" s="38"/>
    </row>
    <row r="144" spans="1:12" ht="15.75" x14ac:dyDescent="0.25">
      <c r="A144" s="31"/>
      <c r="B144" s="32"/>
      <c r="C144" s="32"/>
      <c r="D144" s="33"/>
      <c r="E144" s="33"/>
      <c r="F144" s="33"/>
      <c r="G144" s="32"/>
      <c r="H144" s="36"/>
      <c r="I144" s="37"/>
      <c r="J144" s="36"/>
      <c r="K144" s="36"/>
      <c r="L144" s="38"/>
    </row>
    <row r="145" spans="1:12" ht="15.75" x14ac:dyDescent="0.25">
      <c r="A145" s="31"/>
      <c r="B145" s="32"/>
      <c r="C145" s="32"/>
      <c r="D145" s="33"/>
      <c r="E145" s="33"/>
      <c r="F145" s="33"/>
      <c r="G145" s="32"/>
      <c r="H145" s="36"/>
      <c r="I145" s="37"/>
      <c r="J145" s="36"/>
      <c r="K145" s="36"/>
      <c r="L145" s="38"/>
    </row>
    <row r="146" spans="1:12" ht="15.75" x14ac:dyDescent="0.25">
      <c r="A146" s="31"/>
      <c r="B146" s="32"/>
      <c r="C146" s="32"/>
      <c r="D146" s="33"/>
      <c r="E146" s="33"/>
      <c r="F146" s="33"/>
      <c r="G146" s="32"/>
      <c r="H146" s="36"/>
      <c r="I146" s="37"/>
      <c r="J146" s="36"/>
      <c r="K146" s="36"/>
      <c r="L146" s="38"/>
    </row>
    <row r="147" spans="1:12" ht="15.75" x14ac:dyDescent="0.25">
      <c r="A147" s="31"/>
      <c r="B147" s="32"/>
      <c r="C147" s="32"/>
      <c r="D147" s="33"/>
      <c r="E147" s="33"/>
      <c r="F147" s="33"/>
      <c r="G147" s="32"/>
      <c r="H147" s="36"/>
      <c r="I147" s="37"/>
      <c r="J147" s="36"/>
      <c r="K147" s="36"/>
      <c r="L147" s="38"/>
    </row>
    <row r="148" spans="1:12" ht="15.75" x14ac:dyDescent="0.25">
      <c r="A148" s="31"/>
      <c r="B148" s="32"/>
      <c r="C148" s="32"/>
      <c r="D148" s="33"/>
      <c r="E148" s="33"/>
      <c r="F148" s="33"/>
      <c r="G148" s="32"/>
      <c r="H148" s="36"/>
      <c r="I148" s="37"/>
      <c r="J148" s="36"/>
      <c r="K148" s="36"/>
      <c r="L148" s="38"/>
    </row>
    <row r="149" spans="1:12" ht="15.75" x14ac:dyDescent="0.25">
      <c r="A149" s="31"/>
      <c r="B149" s="32"/>
      <c r="C149" s="32"/>
      <c r="D149" s="33"/>
      <c r="E149" s="33"/>
      <c r="F149" s="33"/>
      <c r="G149" s="32"/>
      <c r="H149" s="36"/>
      <c r="I149" s="37"/>
      <c r="J149" s="36"/>
      <c r="K149" s="36"/>
      <c r="L149" s="38"/>
    </row>
    <row r="150" spans="1:12" ht="15.75" x14ac:dyDescent="0.25">
      <c r="A150" s="31"/>
      <c r="B150" s="32"/>
      <c r="C150" s="32"/>
      <c r="D150" s="33"/>
      <c r="E150" s="33"/>
      <c r="F150" s="33"/>
      <c r="G150" s="32"/>
      <c r="H150" s="36"/>
      <c r="I150" s="37"/>
      <c r="J150" s="37"/>
      <c r="K150" s="37"/>
      <c r="L150" s="38"/>
    </row>
    <row r="151" spans="1:12" ht="15.75" x14ac:dyDescent="0.25">
      <c r="A151" s="31"/>
      <c r="B151" s="32"/>
      <c r="C151" s="32"/>
      <c r="D151" s="33"/>
      <c r="E151" s="33"/>
      <c r="F151" s="33"/>
      <c r="G151" s="32"/>
      <c r="H151" s="36"/>
      <c r="I151" s="37"/>
      <c r="J151" s="37"/>
      <c r="K151" s="37"/>
      <c r="L151" s="38"/>
    </row>
    <row r="152" spans="1:12" ht="15.75" x14ac:dyDescent="0.25">
      <c r="A152" s="31"/>
      <c r="B152" s="32"/>
      <c r="C152" s="32"/>
      <c r="D152" s="33"/>
      <c r="E152" s="33"/>
      <c r="F152" s="33"/>
      <c r="G152" s="32"/>
      <c r="H152" s="36"/>
      <c r="I152" s="37"/>
      <c r="J152" s="37"/>
      <c r="K152" s="37"/>
      <c r="L152" s="38"/>
    </row>
    <row r="153" spans="1:12" ht="15.75" x14ac:dyDescent="0.25">
      <c r="A153" s="31"/>
      <c r="B153" s="32"/>
      <c r="C153" s="32"/>
      <c r="D153" s="33"/>
      <c r="E153" s="33"/>
      <c r="F153" s="33"/>
      <c r="G153" s="32"/>
      <c r="H153" s="36"/>
      <c r="I153" s="37"/>
      <c r="J153" s="37"/>
      <c r="K153" s="37"/>
      <c r="L153" s="38"/>
    </row>
    <row r="154" spans="1:12" ht="15.75" x14ac:dyDescent="0.25">
      <c r="A154" s="31"/>
      <c r="B154" s="32"/>
      <c r="C154" s="32"/>
      <c r="D154" s="33"/>
      <c r="E154" s="33"/>
      <c r="F154" s="33"/>
      <c r="G154" s="32"/>
      <c r="H154" s="36"/>
      <c r="I154" s="37"/>
      <c r="J154" s="37"/>
      <c r="K154" s="37"/>
      <c r="L154" s="38"/>
    </row>
    <row r="155" spans="1:12" ht="15.75" x14ac:dyDescent="0.25">
      <c r="A155" s="31"/>
      <c r="B155" s="32"/>
      <c r="C155" s="32"/>
      <c r="D155" s="33"/>
      <c r="E155" s="33"/>
      <c r="F155" s="33"/>
      <c r="G155" s="32"/>
      <c r="H155" s="36"/>
      <c r="I155" s="37"/>
      <c r="J155" s="37"/>
      <c r="K155" s="37"/>
      <c r="L155" s="38"/>
    </row>
    <row r="156" spans="1:12" ht="15.75" x14ac:dyDescent="0.25">
      <c r="A156" s="31"/>
      <c r="B156" s="32"/>
      <c r="C156" s="32"/>
      <c r="D156" s="33"/>
      <c r="E156" s="33"/>
      <c r="F156" s="33"/>
      <c r="G156" s="32"/>
      <c r="H156" s="36"/>
      <c r="I156" s="37"/>
      <c r="J156" s="37"/>
      <c r="K156" s="37"/>
      <c r="L156" s="38"/>
    </row>
    <row r="157" spans="1:12" ht="15.75" x14ac:dyDescent="0.25">
      <c r="A157" s="31"/>
      <c r="B157" s="32"/>
      <c r="C157" s="32"/>
      <c r="D157" s="33"/>
      <c r="E157" s="33"/>
      <c r="F157" s="33"/>
      <c r="G157" s="32"/>
      <c r="H157" s="36"/>
      <c r="I157" s="37"/>
      <c r="J157" s="37"/>
      <c r="K157" s="37"/>
      <c r="L157" s="38"/>
    </row>
    <row r="158" spans="1:12" ht="15.75" x14ac:dyDescent="0.25">
      <c r="A158" s="31"/>
      <c r="B158" s="32"/>
      <c r="C158" s="32"/>
      <c r="D158" s="33"/>
      <c r="E158" s="33"/>
      <c r="F158" s="33"/>
      <c r="G158" s="32"/>
      <c r="H158" s="36"/>
      <c r="I158" s="37"/>
      <c r="J158" s="37"/>
      <c r="K158" s="37"/>
      <c r="L158" s="38"/>
    </row>
    <row r="159" spans="1:12" ht="15.75" x14ac:dyDescent="0.25">
      <c r="A159" s="31"/>
      <c r="B159" s="32"/>
      <c r="C159" s="32"/>
      <c r="D159" s="33"/>
      <c r="E159" s="33"/>
      <c r="F159" s="33"/>
      <c r="G159" s="32"/>
      <c r="H159" s="36"/>
      <c r="I159" s="37"/>
      <c r="J159" s="37"/>
      <c r="K159" s="37"/>
      <c r="L159" s="38"/>
    </row>
    <row r="160" spans="1:12" ht="15.75" x14ac:dyDescent="0.25">
      <c r="A160" s="31"/>
      <c r="B160" s="32"/>
      <c r="C160" s="32"/>
      <c r="D160" s="33"/>
      <c r="E160" s="33"/>
      <c r="F160" s="33"/>
      <c r="G160" s="32"/>
      <c r="H160" s="36"/>
      <c r="I160" s="37"/>
      <c r="J160" s="37"/>
      <c r="K160" s="37"/>
      <c r="L160" s="38"/>
    </row>
    <row r="161" spans="1:12" ht="15.75" x14ac:dyDescent="0.25">
      <c r="A161" s="31"/>
      <c r="B161" s="32"/>
      <c r="C161" s="32"/>
      <c r="D161" s="33"/>
      <c r="E161" s="33"/>
      <c r="F161" s="33"/>
      <c r="G161" s="32"/>
      <c r="H161" s="36"/>
      <c r="I161" s="37"/>
      <c r="J161" s="37"/>
      <c r="K161" s="37"/>
      <c r="L161" s="38"/>
    </row>
    <row r="162" spans="1:12" ht="15.75" x14ac:dyDescent="0.25">
      <c r="A162" s="31"/>
      <c r="B162" s="32"/>
      <c r="C162" s="32"/>
      <c r="D162" s="33"/>
      <c r="E162" s="33"/>
      <c r="F162" s="33"/>
      <c r="G162" s="32"/>
      <c r="H162" s="36"/>
      <c r="I162" s="37"/>
      <c r="J162" s="37"/>
      <c r="K162" s="37"/>
      <c r="L162" s="38"/>
    </row>
    <row r="163" spans="1:12" ht="15.75" x14ac:dyDescent="0.25">
      <c r="A163" s="31"/>
      <c r="B163" s="32"/>
      <c r="C163" s="32"/>
      <c r="D163" s="33"/>
      <c r="E163" s="33"/>
      <c r="F163" s="33"/>
      <c r="G163" s="32"/>
      <c r="H163" s="36"/>
      <c r="I163" s="37"/>
      <c r="J163" s="37"/>
      <c r="K163" s="37"/>
      <c r="L163" s="38"/>
    </row>
    <row r="164" spans="1:12" ht="15.75" x14ac:dyDescent="0.25">
      <c r="A164" s="31"/>
      <c r="B164" s="32"/>
      <c r="C164" s="32"/>
      <c r="D164" s="33"/>
      <c r="E164" s="33"/>
      <c r="F164" s="33"/>
      <c r="G164" s="32"/>
      <c r="H164" s="36"/>
      <c r="I164" s="37"/>
      <c r="J164" s="37"/>
      <c r="K164" s="37"/>
      <c r="L164" s="38"/>
    </row>
    <row r="165" spans="1:12" ht="15.75" x14ac:dyDescent="0.25">
      <c r="A165" s="31"/>
      <c r="B165" s="32"/>
      <c r="C165" s="32"/>
      <c r="D165" s="33"/>
      <c r="E165" s="33"/>
      <c r="F165" s="33"/>
      <c r="G165" s="32"/>
      <c r="H165" s="36"/>
      <c r="I165" s="37"/>
      <c r="J165" s="37"/>
      <c r="K165" s="37"/>
      <c r="L165" s="38"/>
    </row>
    <row r="166" spans="1:12" ht="15.75" x14ac:dyDescent="0.25">
      <c r="A166" s="31"/>
      <c r="B166" s="32"/>
      <c r="C166" s="32"/>
      <c r="D166" s="33"/>
      <c r="E166" s="33"/>
      <c r="F166" s="33"/>
      <c r="G166" s="32"/>
      <c r="H166" s="36"/>
      <c r="I166" s="37"/>
      <c r="J166" s="37"/>
      <c r="K166" s="37"/>
      <c r="L166" s="38"/>
    </row>
    <row r="167" spans="1:12" ht="15.75" x14ac:dyDescent="0.25">
      <c r="A167" s="31"/>
      <c r="B167" s="32"/>
      <c r="C167" s="32"/>
      <c r="D167" s="33"/>
      <c r="E167" s="33"/>
      <c r="F167" s="33"/>
      <c r="G167" s="32"/>
      <c r="H167" s="36"/>
      <c r="I167" s="37"/>
      <c r="J167" s="37"/>
      <c r="K167" s="37"/>
      <c r="L167" s="38"/>
    </row>
    <row r="168" spans="1:12" ht="15.75" x14ac:dyDescent="0.25">
      <c r="A168" s="31"/>
      <c r="B168" s="32"/>
      <c r="C168" s="32"/>
      <c r="D168" s="33"/>
      <c r="E168" s="33"/>
      <c r="F168" s="33"/>
      <c r="G168" s="32"/>
      <c r="H168" s="36"/>
      <c r="I168" s="37"/>
      <c r="J168" s="37"/>
      <c r="K168" s="37"/>
      <c r="L168" s="38"/>
    </row>
    <row r="169" spans="1:12" ht="15.75" x14ac:dyDescent="0.25">
      <c r="A169" s="31"/>
      <c r="B169" s="32"/>
      <c r="C169" s="32"/>
      <c r="D169" s="33"/>
      <c r="E169" s="33"/>
      <c r="F169" s="33"/>
      <c r="G169" s="32"/>
      <c r="H169" s="36"/>
      <c r="I169" s="37"/>
      <c r="J169" s="37"/>
      <c r="K169" s="37"/>
      <c r="L169" s="38"/>
    </row>
  </sheetData>
  <mergeCells count="2">
    <mergeCell ref="A1:L1"/>
    <mergeCell ref="G2:K2"/>
  </mergeCells>
  <dataValidations count="1">
    <dataValidation type="whole" allowBlank="1" showInputMessage="1" showErrorMessage="1" sqref="D5" xr:uid="{00000000-0002-0000-0400-000000000000}">
      <formula1>0</formula1>
      <formula2>1000000</formula2>
    </dataValidation>
  </dataValidation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L170"/>
  <sheetViews>
    <sheetView workbookViewId="0">
      <pane xSplit="12" ySplit="4" topLeftCell="M5" activePane="bottomRight" state="frozen"/>
      <selection activeCell="M5" sqref="M5"/>
      <selection pane="topRight" activeCell="M5" sqref="M5"/>
      <selection pane="bottomLeft" activeCell="M5" sqref="M5"/>
      <selection pane="bottomRight" activeCell="N14" sqref="N14"/>
    </sheetView>
  </sheetViews>
  <sheetFormatPr defaultRowHeight="15" x14ac:dyDescent="0.25"/>
  <cols>
    <col min="1" max="1" width="11" bestFit="1" customWidth="1"/>
    <col min="3" max="3" width="19.28515625" bestFit="1" customWidth="1"/>
    <col min="7" max="7" width="12.5703125" customWidth="1"/>
    <col min="8" max="8" width="10.28515625" customWidth="1"/>
  </cols>
  <sheetData>
    <row r="1" spans="1:12" x14ac:dyDescent="0.25">
      <c r="A1" s="352" t="s">
        <v>53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</row>
    <row r="2" spans="1:12" x14ac:dyDescent="0.25">
      <c r="A2" s="25"/>
      <c r="B2" s="26"/>
      <c r="C2" s="26"/>
      <c r="D2" s="26"/>
      <c r="E2" s="27"/>
      <c r="F2" s="27"/>
      <c r="G2" s="353" t="s">
        <v>35</v>
      </c>
      <c r="H2" s="354"/>
      <c r="I2" s="354"/>
      <c r="J2" s="354"/>
      <c r="K2" s="355"/>
      <c r="L2" s="24"/>
    </row>
    <row r="3" spans="1:12" ht="21" x14ac:dyDescent="0.25">
      <c r="A3" s="141" t="s">
        <v>36</v>
      </c>
      <c r="B3" s="28" t="s">
        <v>114</v>
      </c>
      <c r="C3" s="28" t="s">
        <v>38</v>
      </c>
      <c r="D3" s="28" t="s">
        <v>39</v>
      </c>
      <c r="E3" s="28" t="s">
        <v>48</v>
      </c>
      <c r="F3" s="28" t="s">
        <v>49</v>
      </c>
      <c r="G3" s="28" t="s">
        <v>43</v>
      </c>
      <c r="H3" s="28" t="s">
        <v>50</v>
      </c>
      <c r="I3" s="28" t="s">
        <v>45</v>
      </c>
      <c r="J3" s="28" t="s">
        <v>46</v>
      </c>
      <c r="K3" s="28" t="s">
        <v>47</v>
      </c>
      <c r="L3" s="28" t="s">
        <v>23</v>
      </c>
    </row>
    <row r="4" spans="1:12" x14ac:dyDescent="0.25">
      <c r="A4" s="29"/>
      <c r="B4" s="30"/>
      <c r="C4" s="30"/>
      <c r="D4" s="30">
        <f>SUM(D5:D101)</f>
        <v>5132</v>
      </c>
      <c r="E4" s="30">
        <f>SUM(E5:E101)</f>
        <v>500</v>
      </c>
      <c r="F4" s="30">
        <f>SUM(F5:F101)</f>
        <v>0</v>
      </c>
      <c r="G4" s="30"/>
      <c r="H4" s="30">
        <f>SUM(H5:H101)</f>
        <v>0</v>
      </c>
      <c r="I4" s="30">
        <f>SUM(I6:I101)</f>
        <v>0</v>
      </c>
      <c r="J4" s="30">
        <f>SUM(J5:J101)</f>
        <v>0</v>
      </c>
      <c r="K4" s="30">
        <f>SUM(K6:K101)</f>
        <v>0</v>
      </c>
      <c r="L4" s="30">
        <f>SUM(E4,F4,H4,I4,J4,K4)</f>
        <v>500</v>
      </c>
    </row>
    <row r="5" spans="1:12" s="244" customFormat="1" ht="26.25" customHeight="1" x14ac:dyDescent="0.25">
      <c r="A5" s="356">
        <v>45934</v>
      </c>
      <c r="B5" s="243">
        <v>10498</v>
      </c>
      <c r="C5" s="243" t="s">
        <v>186</v>
      </c>
      <c r="D5" s="243">
        <v>2364</v>
      </c>
      <c r="E5" s="359">
        <v>500</v>
      </c>
      <c r="F5" s="243"/>
      <c r="G5" s="362" t="s">
        <v>187</v>
      </c>
      <c r="H5" s="243"/>
      <c r="I5" s="243"/>
      <c r="J5" s="243"/>
      <c r="K5" s="243"/>
      <c r="L5" s="243"/>
    </row>
    <row r="6" spans="1:12" x14ac:dyDescent="0.25">
      <c r="A6" s="357"/>
      <c r="B6" s="247">
        <v>10499</v>
      </c>
      <c r="C6" s="243" t="s">
        <v>186</v>
      </c>
      <c r="D6" s="247">
        <v>8</v>
      </c>
      <c r="E6" s="360"/>
      <c r="F6" s="247"/>
      <c r="G6" s="363"/>
      <c r="H6" s="248"/>
      <c r="I6" s="248"/>
      <c r="J6" s="248"/>
      <c r="K6" s="248"/>
      <c r="L6" s="249"/>
    </row>
    <row r="7" spans="1:12" x14ac:dyDescent="0.25">
      <c r="A7" s="357"/>
      <c r="B7" s="33">
        <v>10495</v>
      </c>
      <c r="C7" s="243" t="s">
        <v>186</v>
      </c>
      <c r="D7" s="33">
        <v>500</v>
      </c>
      <c r="E7" s="360"/>
      <c r="F7" s="33"/>
      <c r="G7" s="363"/>
      <c r="H7" s="34"/>
      <c r="I7" s="34"/>
      <c r="J7" s="34"/>
      <c r="K7" s="34"/>
      <c r="L7" s="35"/>
    </row>
    <row r="8" spans="1:12" ht="35.25" customHeight="1" x14ac:dyDescent="0.25">
      <c r="A8" s="358"/>
      <c r="B8" s="183">
        <v>10511</v>
      </c>
      <c r="C8" s="243" t="s">
        <v>186</v>
      </c>
      <c r="D8" s="33">
        <v>2260</v>
      </c>
      <c r="E8" s="361"/>
      <c r="F8" s="33"/>
      <c r="G8" s="364"/>
      <c r="H8" s="34"/>
      <c r="I8" s="34"/>
      <c r="J8" s="34"/>
      <c r="K8" s="34"/>
      <c r="L8" s="35"/>
    </row>
    <row r="9" spans="1:12" ht="15.75" customHeight="1" x14ac:dyDescent="0.25">
      <c r="A9" s="31"/>
      <c r="B9" s="32"/>
      <c r="C9" s="32"/>
      <c r="D9" s="33"/>
      <c r="E9" s="33"/>
      <c r="F9" s="33"/>
      <c r="G9" s="32"/>
      <c r="H9" s="34"/>
      <c r="I9" s="34"/>
      <c r="J9" s="34"/>
      <c r="K9" s="34"/>
      <c r="L9" s="35"/>
    </row>
    <row r="10" spans="1:12" ht="15.75" customHeight="1" x14ac:dyDescent="0.25">
      <c r="A10" s="31"/>
      <c r="B10" s="32"/>
      <c r="C10" s="32"/>
      <c r="D10" s="33"/>
      <c r="E10" s="33"/>
      <c r="F10" s="33"/>
      <c r="G10" s="32"/>
      <c r="H10" s="34"/>
      <c r="I10" s="34"/>
      <c r="J10" s="34"/>
      <c r="K10" s="34"/>
      <c r="L10" s="35"/>
    </row>
    <row r="11" spans="1:12" ht="15.75" customHeight="1" x14ac:dyDescent="0.25">
      <c r="A11" s="31"/>
      <c r="B11" s="32"/>
      <c r="C11" s="32"/>
      <c r="D11" s="33"/>
      <c r="E11" s="33"/>
      <c r="F11" s="33"/>
      <c r="G11" s="32"/>
      <c r="H11" s="34"/>
      <c r="I11" s="34"/>
      <c r="J11" s="34"/>
      <c r="K11" s="34"/>
      <c r="L11" s="35"/>
    </row>
    <row r="12" spans="1:12" ht="15.75" customHeight="1" x14ac:dyDescent="0.25">
      <c r="A12" s="31"/>
      <c r="B12" s="32"/>
      <c r="C12" s="32"/>
      <c r="D12" s="33"/>
      <c r="E12" s="33"/>
      <c r="F12" s="33"/>
      <c r="G12" s="32"/>
      <c r="H12" s="34"/>
      <c r="I12" s="34"/>
      <c r="J12" s="34"/>
      <c r="K12" s="34"/>
      <c r="L12" s="35"/>
    </row>
    <row r="13" spans="1:12" ht="15.75" customHeight="1" x14ac:dyDescent="0.25">
      <c r="A13" s="31"/>
      <c r="B13" s="32"/>
      <c r="C13" s="32"/>
      <c r="D13" s="33"/>
      <c r="E13" s="33"/>
      <c r="F13" s="33"/>
      <c r="G13" s="32"/>
      <c r="H13" s="34"/>
      <c r="I13" s="34"/>
      <c r="J13" s="34"/>
      <c r="K13" s="34"/>
      <c r="L13" s="35"/>
    </row>
    <row r="14" spans="1:12" ht="15.75" x14ac:dyDescent="0.25">
      <c r="A14" s="31"/>
      <c r="B14" s="32"/>
      <c r="C14" s="32"/>
      <c r="D14" s="33"/>
      <c r="E14" s="33"/>
      <c r="F14" s="33"/>
      <c r="G14" s="32"/>
      <c r="H14" s="34"/>
      <c r="I14" s="34"/>
      <c r="J14" s="34"/>
      <c r="K14" s="34"/>
      <c r="L14" s="35"/>
    </row>
    <row r="15" spans="1:12" ht="15.75" x14ac:dyDescent="0.25">
      <c r="A15" s="31"/>
      <c r="B15" s="32"/>
      <c r="C15" s="32"/>
      <c r="D15" s="33"/>
      <c r="E15" s="33"/>
      <c r="F15" s="33"/>
      <c r="G15" s="32"/>
      <c r="H15" s="34"/>
      <c r="I15" s="34"/>
      <c r="J15" s="34"/>
      <c r="K15" s="34"/>
      <c r="L15" s="35"/>
    </row>
    <row r="16" spans="1:12" ht="15.75" x14ac:dyDescent="0.25">
      <c r="A16" s="31"/>
      <c r="B16" s="32"/>
      <c r="C16" s="32"/>
      <c r="D16" s="33"/>
      <c r="E16" s="33"/>
      <c r="F16" s="33"/>
      <c r="G16" s="32"/>
      <c r="H16" s="34"/>
      <c r="I16" s="34"/>
      <c r="J16" s="34"/>
      <c r="K16" s="34"/>
      <c r="L16" s="35"/>
    </row>
    <row r="17" spans="1:12" ht="15.75" x14ac:dyDescent="0.25">
      <c r="A17" s="31"/>
      <c r="B17" s="32"/>
      <c r="C17" s="32"/>
      <c r="D17" s="33"/>
      <c r="E17" s="33"/>
      <c r="F17" s="33"/>
      <c r="G17" s="32"/>
      <c r="H17" s="34"/>
      <c r="I17" s="34"/>
      <c r="J17" s="34"/>
      <c r="K17" s="34"/>
      <c r="L17" s="35"/>
    </row>
    <row r="18" spans="1:12" ht="15.75" x14ac:dyDescent="0.25">
      <c r="A18" s="31"/>
      <c r="B18" s="32"/>
      <c r="C18" s="32"/>
      <c r="D18" s="33"/>
      <c r="E18" s="33"/>
      <c r="F18" s="33"/>
      <c r="G18" s="32"/>
      <c r="H18" s="34"/>
      <c r="I18" s="34"/>
      <c r="J18" s="34"/>
      <c r="K18" s="34"/>
      <c r="L18" s="35"/>
    </row>
    <row r="19" spans="1:12" ht="15.75" x14ac:dyDescent="0.25">
      <c r="A19" s="31"/>
      <c r="B19" s="32"/>
      <c r="C19" s="32"/>
      <c r="D19" s="33"/>
      <c r="E19" s="33"/>
      <c r="F19" s="33"/>
      <c r="G19" s="32"/>
      <c r="H19" s="34"/>
      <c r="I19" s="34"/>
      <c r="J19" s="34"/>
      <c r="K19" s="34"/>
      <c r="L19" s="35"/>
    </row>
    <row r="20" spans="1:12" ht="15.75" x14ac:dyDescent="0.25">
      <c r="A20" s="31"/>
      <c r="B20" s="32"/>
      <c r="C20" s="32"/>
      <c r="D20" s="33"/>
      <c r="E20" s="33"/>
      <c r="F20" s="33"/>
      <c r="G20" s="32"/>
      <c r="H20" s="34"/>
      <c r="I20" s="34"/>
      <c r="J20" s="34"/>
      <c r="K20" s="34"/>
      <c r="L20" s="35"/>
    </row>
    <row r="21" spans="1:12" ht="15.75" x14ac:dyDescent="0.25">
      <c r="A21" s="31"/>
      <c r="B21" s="32"/>
      <c r="C21" s="32"/>
      <c r="D21" s="33"/>
      <c r="E21" s="33"/>
      <c r="F21" s="33"/>
      <c r="G21" s="32"/>
      <c r="H21" s="34"/>
      <c r="I21" s="34"/>
      <c r="J21" s="34"/>
      <c r="K21" s="34"/>
      <c r="L21" s="35"/>
    </row>
    <row r="22" spans="1:12" ht="15.75" x14ac:dyDescent="0.25">
      <c r="A22" s="31"/>
      <c r="B22" s="32"/>
      <c r="C22" s="32"/>
      <c r="D22" s="33"/>
      <c r="E22" s="33"/>
      <c r="F22" s="33"/>
      <c r="G22" s="32"/>
      <c r="H22" s="34"/>
      <c r="I22" s="34"/>
      <c r="J22" s="34"/>
      <c r="K22" s="34"/>
      <c r="L22" s="35"/>
    </row>
    <row r="23" spans="1:12" ht="15.75" x14ac:dyDescent="0.25">
      <c r="A23" s="31"/>
      <c r="B23" s="32"/>
      <c r="C23" s="32"/>
      <c r="D23" s="33"/>
      <c r="E23" s="33"/>
      <c r="F23" s="33"/>
      <c r="G23" s="32"/>
      <c r="H23" s="34"/>
      <c r="I23" s="34"/>
      <c r="J23" s="34"/>
      <c r="K23" s="34"/>
      <c r="L23" s="35"/>
    </row>
    <row r="24" spans="1:12" ht="15.75" x14ac:dyDescent="0.25">
      <c r="A24" s="31"/>
      <c r="B24" s="32"/>
      <c r="C24" s="32"/>
      <c r="D24" s="33"/>
      <c r="E24" s="33"/>
      <c r="F24" s="33"/>
      <c r="G24" s="32"/>
      <c r="H24" s="34"/>
      <c r="I24" s="34"/>
      <c r="J24" s="34"/>
      <c r="K24" s="34"/>
      <c r="L24" s="35"/>
    </row>
    <row r="25" spans="1:12" ht="15.75" x14ac:dyDescent="0.25">
      <c r="A25" s="31"/>
      <c r="B25" s="32"/>
      <c r="C25" s="32"/>
      <c r="D25" s="33"/>
      <c r="E25" s="33"/>
      <c r="F25" s="33"/>
      <c r="G25" s="32"/>
      <c r="H25" s="34"/>
      <c r="I25" s="34"/>
      <c r="J25" s="34"/>
      <c r="K25" s="34"/>
      <c r="L25" s="35"/>
    </row>
    <row r="26" spans="1:12" ht="15.75" x14ac:dyDescent="0.25">
      <c r="A26" s="31"/>
      <c r="B26" s="32"/>
      <c r="C26" s="32"/>
      <c r="D26" s="33"/>
      <c r="E26" s="33"/>
      <c r="F26" s="33"/>
      <c r="G26" s="32"/>
      <c r="H26" s="34"/>
      <c r="I26" s="34"/>
      <c r="J26" s="34"/>
      <c r="K26" s="34"/>
      <c r="L26" s="35"/>
    </row>
    <row r="27" spans="1:12" ht="15.75" x14ac:dyDescent="0.25">
      <c r="A27" s="31"/>
      <c r="B27" s="32"/>
      <c r="C27" s="32"/>
      <c r="D27" s="33"/>
      <c r="E27" s="33"/>
      <c r="F27" s="33"/>
      <c r="G27" s="32"/>
      <c r="H27" s="34"/>
      <c r="I27" s="34"/>
      <c r="J27" s="34"/>
      <c r="K27" s="34"/>
      <c r="L27" s="35"/>
    </row>
    <row r="28" spans="1:12" ht="15.75" x14ac:dyDescent="0.25">
      <c r="A28" s="31"/>
      <c r="B28" s="32"/>
      <c r="C28" s="32"/>
      <c r="D28" s="33"/>
      <c r="E28" s="33"/>
      <c r="F28" s="33"/>
      <c r="G28" s="32"/>
      <c r="H28" s="34"/>
      <c r="I28" s="34"/>
      <c r="J28" s="34"/>
      <c r="K28" s="34"/>
      <c r="L28" s="35"/>
    </row>
    <row r="29" spans="1:12" ht="15.75" x14ac:dyDescent="0.25">
      <c r="A29" s="31"/>
      <c r="B29" s="32"/>
      <c r="C29" s="32"/>
      <c r="D29" s="33"/>
      <c r="E29" s="33"/>
      <c r="F29" s="33"/>
      <c r="G29" s="32"/>
      <c r="H29" s="34"/>
      <c r="I29" s="34"/>
      <c r="J29" s="34"/>
      <c r="K29" s="34"/>
      <c r="L29" s="35"/>
    </row>
    <row r="30" spans="1:12" ht="15.75" x14ac:dyDescent="0.25">
      <c r="A30" s="31"/>
      <c r="B30" s="32"/>
      <c r="C30" s="32"/>
      <c r="D30" s="33"/>
      <c r="E30" s="33"/>
      <c r="F30" s="33"/>
      <c r="G30" s="32"/>
      <c r="H30" s="34"/>
      <c r="I30" s="34"/>
      <c r="J30" s="34"/>
      <c r="K30" s="34"/>
      <c r="L30" s="35"/>
    </row>
    <row r="31" spans="1:12" ht="15.75" x14ac:dyDescent="0.25">
      <c r="A31" s="31"/>
      <c r="B31" s="32"/>
      <c r="C31" s="32"/>
      <c r="D31" s="33"/>
      <c r="E31" s="33"/>
      <c r="F31" s="33"/>
      <c r="G31" s="32"/>
      <c r="H31" s="34"/>
      <c r="I31" s="34"/>
      <c r="J31" s="34"/>
      <c r="K31" s="34"/>
      <c r="L31" s="35"/>
    </row>
    <row r="32" spans="1:12" ht="15.75" x14ac:dyDescent="0.25">
      <c r="A32" s="31"/>
      <c r="B32" s="32"/>
      <c r="C32" s="32"/>
      <c r="D32" s="33"/>
      <c r="E32" s="33"/>
      <c r="F32" s="33"/>
      <c r="G32" s="32"/>
      <c r="H32" s="34"/>
      <c r="I32" s="34"/>
      <c r="J32" s="34"/>
      <c r="K32" s="34"/>
      <c r="L32" s="35"/>
    </row>
    <row r="33" spans="1:12" ht="15.75" x14ac:dyDescent="0.25">
      <c r="A33" s="31"/>
      <c r="B33" s="32"/>
      <c r="C33" s="32"/>
      <c r="D33" s="33"/>
      <c r="E33" s="33"/>
      <c r="F33" s="33"/>
      <c r="G33" s="32"/>
      <c r="H33" s="34"/>
      <c r="I33" s="34"/>
      <c r="J33" s="34"/>
      <c r="K33" s="34"/>
      <c r="L33" s="35"/>
    </row>
    <row r="34" spans="1:12" ht="15.75" x14ac:dyDescent="0.25">
      <c r="A34" s="31"/>
      <c r="B34" s="32"/>
      <c r="C34" s="32"/>
      <c r="D34" s="33"/>
      <c r="E34" s="33"/>
      <c r="F34" s="33"/>
      <c r="G34" s="32"/>
      <c r="H34" s="34"/>
      <c r="I34" s="34"/>
      <c r="J34" s="34"/>
      <c r="K34" s="34"/>
      <c r="L34" s="35"/>
    </row>
    <row r="35" spans="1:12" ht="15.75" x14ac:dyDescent="0.25">
      <c r="A35" s="31"/>
      <c r="B35" s="32"/>
      <c r="C35" s="32"/>
      <c r="D35" s="33"/>
      <c r="E35" s="33"/>
      <c r="F35" s="33"/>
      <c r="G35" s="32"/>
      <c r="H35" s="34"/>
      <c r="I35" s="34"/>
      <c r="J35" s="34"/>
      <c r="K35" s="34"/>
      <c r="L35" s="35"/>
    </row>
    <row r="36" spans="1:12" ht="15.75" x14ac:dyDescent="0.25">
      <c r="A36" s="31"/>
      <c r="B36" s="32"/>
      <c r="C36" s="32"/>
      <c r="D36" s="33"/>
      <c r="E36" s="33"/>
      <c r="F36" s="33"/>
      <c r="G36" s="32"/>
      <c r="H36" s="34"/>
      <c r="I36" s="34"/>
      <c r="J36" s="34"/>
      <c r="K36" s="34"/>
      <c r="L36" s="35"/>
    </row>
    <row r="37" spans="1:12" ht="15.75" x14ac:dyDescent="0.25">
      <c r="A37" s="31"/>
      <c r="B37" s="32"/>
      <c r="C37" s="32"/>
      <c r="D37" s="33"/>
      <c r="E37" s="33"/>
      <c r="F37" s="33"/>
      <c r="G37" s="32"/>
      <c r="H37" s="34"/>
      <c r="I37" s="34"/>
      <c r="J37" s="34"/>
      <c r="K37" s="34"/>
      <c r="L37" s="35"/>
    </row>
    <row r="38" spans="1:12" ht="15.75" x14ac:dyDescent="0.25">
      <c r="A38" s="31"/>
      <c r="B38" s="32"/>
      <c r="C38" s="32"/>
      <c r="D38" s="33"/>
      <c r="E38" s="33"/>
      <c r="F38" s="33"/>
      <c r="G38" s="32"/>
      <c r="H38" s="34"/>
      <c r="I38" s="34"/>
      <c r="J38" s="34"/>
      <c r="K38" s="34"/>
      <c r="L38" s="35"/>
    </row>
    <row r="39" spans="1:12" ht="15.75" x14ac:dyDescent="0.25">
      <c r="A39" s="31"/>
      <c r="B39" s="32"/>
      <c r="C39" s="32"/>
      <c r="D39" s="33"/>
      <c r="E39" s="33"/>
      <c r="F39" s="33"/>
      <c r="G39" s="32"/>
      <c r="H39" s="34"/>
      <c r="I39" s="34"/>
      <c r="J39" s="34"/>
      <c r="K39" s="34"/>
      <c r="L39" s="35"/>
    </row>
    <row r="40" spans="1:12" ht="15.75" x14ac:dyDescent="0.25">
      <c r="A40" s="31"/>
      <c r="B40" s="32"/>
      <c r="C40" s="32"/>
      <c r="D40" s="33"/>
      <c r="E40" s="33"/>
      <c r="F40" s="33"/>
      <c r="G40" s="32"/>
      <c r="H40" s="34"/>
      <c r="I40" s="34"/>
      <c r="J40" s="34"/>
      <c r="K40" s="34"/>
      <c r="L40" s="35"/>
    </row>
    <row r="41" spans="1:12" ht="15.75" x14ac:dyDescent="0.25">
      <c r="A41" s="31"/>
      <c r="B41" s="32"/>
      <c r="C41" s="32"/>
      <c r="D41" s="33"/>
      <c r="E41" s="33"/>
      <c r="F41" s="33"/>
      <c r="G41" s="32"/>
      <c r="H41" s="34"/>
      <c r="I41" s="34"/>
      <c r="J41" s="34"/>
      <c r="K41" s="34"/>
      <c r="L41" s="35"/>
    </row>
    <row r="42" spans="1:12" ht="15.75" x14ac:dyDescent="0.25">
      <c r="A42" s="31"/>
      <c r="B42" s="32"/>
      <c r="C42" s="32"/>
      <c r="D42" s="33"/>
      <c r="E42" s="33"/>
      <c r="F42" s="33"/>
      <c r="G42" s="32"/>
      <c r="H42" s="34"/>
      <c r="I42" s="34"/>
      <c r="J42" s="34"/>
      <c r="K42" s="34"/>
      <c r="L42" s="35"/>
    </row>
    <row r="43" spans="1:12" ht="15.75" x14ac:dyDescent="0.25">
      <c r="A43" s="31"/>
      <c r="B43" s="32"/>
      <c r="C43" s="32"/>
      <c r="D43" s="33"/>
      <c r="E43" s="33"/>
      <c r="F43" s="33"/>
      <c r="G43" s="32"/>
      <c r="H43" s="34"/>
      <c r="I43" s="34"/>
      <c r="J43" s="34"/>
      <c r="K43" s="34"/>
      <c r="L43" s="35"/>
    </row>
    <row r="44" spans="1:12" ht="15.75" x14ac:dyDescent="0.25">
      <c r="A44" s="31"/>
      <c r="B44" s="32"/>
      <c r="C44" s="32"/>
      <c r="D44" s="33"/>
      <c r="E44" s="33"/>
      <c r="F44" s="33"/>
      <c r="G44" s="32"/>
      <c r="H44" s="34"/>
      <c r="I44" s="34"/>
      <c r="J44" s="34"/>
      <c r="K44" s="34"/>
      <c r="L44" s="35"/>
    </row>
    <row r="45" spans="1:12" ht="15.75" x14ac:dyDescent="0.25">
      <c r="A45" s="31"/>
      <c r="B45" s="32"/>
      <c r="C45" s="32"/>
      <c r="D45" s="33"/>
      <c r="E45" s="33"/>
      <c r="F45" s="33"/>
      <c r="G45" s="32"/>
      <c r="H45" s="34"/>
      <c r="I45" s="34"/>
      <c r="J45" s="34"/>
      <c r="K45" s="34"/>
      <c r="L45" s="35"/>
    </row>
    <row r="46" spans="1:12" ht="15.75" x14ac:dyDescent="0.25">
      <c r="A46" s="31"/>
      <c r="B46" s="32"/>
      <c r="C46" s="32"/>
      <c r="D46" s="33"/>
      <c r="E46" s="33"/>
      <c r="F46" s="33"/>
      <c r="G46" s="32"/>
      <c r="H46" s="34"/>
      <c r="I46" s="34"/>
      <c r="J46" s="34"/>
      <c r="K46" s="34"/>
      <c r="L46" s="35"/>
    </row>
    <row r="47" spans="1:12" ht="15.75" x14ac:dyDescent="0.25">
      <c r="A47" s="31"/>
      <c r="B47" s="32"/>
      <c r="C47" s="32"/>
      <c r="D47" s="33"/>
      <c r="E47" s="33"/>
      <c r="F47" s="33"/>
      <c r="G47" s="32"/>
      <c r="H47" s="34"/>
      <c r="I47" s="34"/>
      <c r="J47" s="34"/>
      <c r="K47" s="34"/>
      <c r="L47" s="35"/>
    </row>
    <row r="48" spans="1:12" ht="15.75" x14ac:dyDescent="0.25">
      <c r="A48" s="31"/>
      <c r="B48" s="32"/>
      <c r="C48" s="32"/>
      <c r="D48" s="33"/>
      <c r="E48" s="33"/>
      <c r="F48" s="33"/>
      <c r="G48" s="32"/>
      <c r="H48" s="34"/>
      <c r="I48" s="34"/>
      <c r="J48" s="34"/>
      <c r="K48" s="34"/>
      <c r="L48" s="35"/>
    </row>
    <row r="49" spans="1:12" ht="15.75" x14ac:dyDescent="0.25">
      <c r="A49" s="31"/>
      <c r="B49" s="32"/>
      <c r="C49" s="32"/>
      <c r="D49" s="33"/>
      <c r="E49" s="33"/>
      <c r="F49" s="33"/>
      <c r="G49" s="32"/>
      <c r="H49" s="34"/>
      <c r="I49" s="34"/>
      <c r="J49" s="34"/>
      <c r="K49" s="34"/>
      <c r="L49" s="35"/>
    </row>
    <row r="50" spans="1:12" ht="15.75" x14ac:dyDescent="0.25">
      <c r="A50" s="31"/>
      <c r="B50" s="32"/>
      <c r="C50" s="32"/>
      <c r="D50" s="33"/>
      <c r="E50" s="33"/>
      <c r="F50" s="33"/>
      <c r="G50" s="32"/>
      <c r="H50" s="34"/>
      <c r="I50" s="34"/>
      <c r="J50" s="34"/>
      <c r="K50" s="34"/>
      <c r="L50" s="35"/>
    </row>
    <row r="51" spans="1:12" ht="15.75" x14ac:dyDescent="0.25">
      <c r="A51" s="31"/>
      <c r="B51" s="32"/>
      <c r="C51" s="32"/>
      <c r="D51" s="33"/>
      <c r="E51" s="33"/>
      <c r="F51" s="33"/>
      <c r="G51" s="32"/>
      <c r="H51" s="34"/>
      <c r="I51" s="34"/>
      <c r="J51" s="34"/>
      <c r="K51" s="34"/>
      <c r="L51" s="35"/>
    </row>
    <row r="52" spans="1:12" ht="15.75" x14ac:dyDescent="0.25">
      <c r="A52" s="31"/>
      <c r="B52" s="32"/>
      <c r="C52" s="32"/>
      <c r="D52" s="33"/>
      <c r="E52" s="33"/>
      <c r="F52" s="33"/>
      <c r="G52" s="32"/>
      <c r="H52" s="34"/>
      <c r="I52" s="34"/>
      <c r="J52" s="34"/>
      <c r="K52" s="34"/>
      <c r="L52" s="35"/>
    </row>
    <row r="53" spans="1:12" ht="15.75" x14ac:dyDescent="0.25">
      <c r="A53" s="31"/>
      <c r="B53" s="32"/>
      <c r="C53" s="32"/>
      <c r="D53" s="33"/>
      <c r="E53" s="33"/>
      <c r="F53" s="33"/>
      <c r="G53" s="32"/>
      <c r="H53" s="34"/>
      <c r="I53" s="34"/>
      <c r="J53" s="34"/>
      <c r="K53" s="34"/>
      <c r="L53" s="35"/>
    </row>
    <row r="54" spans="1:12" ht="15.75" x14ac:dyDescent="0.25">
      <c r="A54" s="31"/>
      <c r="B54" s="32"/>
      <c r="C54" s="32"/>
      <c r="D54" s="33"/>
      <c r="E54" s="33"/>
      <c r="F54" s="33"/>
      <c r="G54" s="32"/>
      <c r="H54" s="34"/>
      <c r="I54" s="34"/>
      <c r="J54" s="34"/>
      <c r="K54" s="34"/>
      <c r="L54" s="35"/>
    </row>
    <row r="55" spans="1:12" ht="15.75" x14ac:dyDescent="0.25">
      <c r="A55" s="31"/>
      <c r="B55" s="32"/>
      <c r="C55" s="32"/>
      <c r="D55" s="33"/>
      <c r="E55" s="33"/>
      <c r="F55" s="33"/>
      <c r="G55" s="32"/>
      <c r="H55" s="34"/>
      <c r="I55" s="34"/>
      <c r="J55" s="34"/>
      <c r="K55" s="34"/>
      <c r="L55" s="35"/>
    </row>
    <row r="56" spans="1:12" ht="15.75" x14ac:dyDescent="0.25">
      <c r="A56" s="31"/>
      <c r="B56" s="32"/>
      <c r="C56" s="32"/>
      <c r="D56" s="33"/>
      <c r="E56" s="33"/>
      <c r="F56" s="33"/>
      <c r="G56" s="32"/>
      <c r="H56" s="34"/>
      <c r="I56" s="34"/>
      <c r="J56" s="34"/>
      <c r="K56" s="34"/>
      <c r="L56" s="35"/>
    </row>
    <row r="57" spans="1:12" ht="15.75" x14ac:dyDescent="0.25">
      <c r="A57" s="31"/>
      <c r="B57" s="32"/>
      <c r="C57" s="32"/>
      <c r="D57" s="33"/>
      <c r="E57" s="33"/>
      <c r="F57" s="33"/>
      <c r="G57" s="32"/>
      <c r="H57" s="34"/>
      <c r="I57" s="34"/>
      <c r="J57" s="34"/>
      <c r="K57" s="34"/>
      <c r="L57" s="35"/>
    </row>
    <row r="58" spans="1:12" ht="15.75" x14ac:dyDescent="0.25">
      <c r="A58" s="31"/>
      <c r="B58" s="32"/>
      <c r="C58" s="32"/>
      <c r="D58" s="33"/>
      <c r="E58" s="33"/>
      <c r="F58" s="33"/>
      <c r="G58" s="32"/>
      <c r="H58" s="34"/>
      <c r="I58" s="34"/>
      <c r="J58" s="34"/>
      <c r="K58" s="34"/>
      <c r="L58" s="35"/>
    </row>
    <row r="59" spans="1:12" ht="15.75" x14ac:dyDescent="0.25">
      <c r="A59" s="31"/>
      <c r="B59" s="32"/>
      <c r="C59" s="32"/>
      <c r="D59" s="33"/>
      <c r="E59" s="33"/>
      <c r="F59" s="33"/>
      <c r="G59" s="32"/>
      <c r="H59" s="34"/>
      <c r="I59" s="34"/>
      <c r="J59" s="34"/>
      <c r="K59" s="34"/>
      <c r="L59" s="35"/>
    </row>
    <row r="60" spans="1:12" ht="15.75" x14ac:dyDescent="0.25">
      <c r="A60" s="31"/>
      <c r="B60" s="32"/>
      <c r="C60" s="32"/>
      <c r="D60" s="33"/>
      <c r="E60" s="33"/>
      <c r="F60" s="33"/>
      <c r="G60" s="32"/>
      <c r="H60" s="34"/>
      <c r="I60" s="34"/>
      <c r="J60" s="34"/>
      <c r="K60" s="34"/>
      <c r="L60" s="35"/>
    </row>
    <row r="61" spans="1:12" ht="15.75" x14ac:dyDescent="0.25">
      <c r="A61" s="31"/>
      <c r="B61" s="32"/>
      <c r="C61" s="32"/>
      <c r="D61" s="33"/>
      <c r="E61" s="33"/>
      <c r="F61" s="33"/>
      <c r="G61" s="32"/>
      <c r="H61" s="34"/>
      <c r="I61" s="34"/>
      <c r="J61" s="34"/>
      <c r="K61" s="34"/>
      <c r="L61" s="35"/>
    </row>
    <row r="62" spans="1:12" ht="15.75" x14ac:dyDescent="0.25">
      <c r="A62" s="31"/>
      <c r="B62" s="32"/>
      <c r="C62" s="32"/>
      <c r="D62" s="33"/>
      <c r="E62" s="33"/>
      <c r="F62" s="33"/>
      <c r="G62" s="32"/>
      <c r="H62" s="34"/>
      <c r="I62" s="34"/>
      <c r="J62" s="34"/>
      <c r="K62" s="34"/>
      <c r="L62" s="35"/>
    </row>
    <row r="63" spans="1:12" ht="15.75" x14ac:dyDescent="0.25">
      <c r="A63" s="31"/>
      <c r="B63" s="32"/>
      <c r="C63" s="32"/>
      <c r="D63" s="33"/>
      <c r="E63" s="33"/>
      <c r="F63" s="33"/>
      <c r="G63" s="32"/>
      <c r="H63" s="34"/>
      <c r="I63" s="34"/>
      <c r="J63" s="34"/>
      <c r="K63" s="34"/>
      <c r="L63" s="35"/>
    </row>
    <row r="64" spans="1:12" ht="15.75" x14ac:dyDescent="0.25">
      <c r="A64" s="31"/>
      <c r="B64" s="32"/>
      <c r="C64" s="32"/>
      <c r="D64" s="33"/>
      <c r="E64" s="33"/>
      <c r="F64" s="33"/>
      <c r="G64" s="32"/>
      <c r="H64" s="34"/>
      <c r="I64" s="34"/>
      <c r="J64" s="34"/>
      <c r="K64" s="34"/>
      <c r="L64" s="35"/>
    </row>
    <row r="65" spans="1:12" ht="15.75" x14ac:dyDescent="0.25">
      <c r="A65" s="31"/>
      <c r="B65" s="32"/>
      <c r="C65" s="32"/>
      <c r="D65" s="33"/>
      <c r="E65" s="33"/>
      <c r="F65" s="33"/>
      <c r="G65" s="32"/>
      <c r="H65" s="34"/>
      <c r="I65" s="34"/>
      <c r="J65" s="34"/>
      <c r="K65" s="34"/>
      <c r="L65" s="35"/>
    </row>
    <row r="66" spans="1:12" ht="15.75" x14ac:dyDescent="0.25">
      <c r="A66" s="31"/>
      <c r="B66" s="32"/>
      <c r="C66" s="32"/>
      <c r="D66" s="33"/>
      <c r="E66" s="33"/>
      <c r="F66" s="33"/>
      <c r="G66" s="32"/>
      <c r="H66" s="34"/>
      <c r="I66" s="34"/>
      <c r="J66" s="34"/>
      <c r="K66" s="34"/>
      <c r="L66" s="35"/>
    </row>
    <row r="67" spans="1:12" ht="15.75" x14ac:dyDescent="0.25">
      <c r="A67" s="31"/>
      <c r="B67" s="32"/>
      <c r="C67" s="32"/>
      <c r="D67" s="33"/>
      <c r="E67" s="33"/>
      <c r="F67" s="33"/>
      <c r="G67" s="32"/>
      <c r="H67" s="34"/>
      <c r="I67" s="34"/>
      <c r="J67" s="34"/>
      <c r="K67" s="34"/>
      <c r="L67" s="35"/>
    </row>
    <row r="68" spans="1:12" ht="15.75" x14ac:dyDescent="0.25">
      <c r="A68" s="31"/>
      <c r="B68" s="32"/>
      <c r="C68" s="32"/>
      <c r="D68" s="33"/>
      <c r="E68" s="33"/>
      <c r="F68" s="33"/>
      <c r="G68" s="32"/>
      <c r="H68" s="34"/>
      <c r="I68" s="34"/>
      <c r="J68" s="34"/>
      <c r="K68" s="34"/>
      <c r="L68" s="35"/>
    </row>
    <row r="69" spans="1:12" ht="15.75" x14ac:dyDescent="0.25">
      <c r="A69" s="31"/>
      <c r="B69" s="32"/>
      <c r="C69" s="32"/>
      <c r="D69" s="33"/>
      <c r="E69" s="33"/>
      <c r="F69" s="33"/>
      <c r="G69" s="32"/>
      <c r="H69" s="34"/>
      <c r="I69" s="34"/>
      <c r="J69" s="34"/>
      <c r="K69" s="34"/>
      <c r="L69" s="35"/>
    </row>
    <row r="70" spans="1:12" ht="15.75" x14ac:dyDescent="0.25">
      <c r="A70" s="31"/>
      <c r="B70" s="32"/>
      <c r="C70" s="32"/>
      <c r="D70" s="33"/>
      <c r="E70" s="33"/>
      <c r="F70" s="33"/>
      <c r="G70" s="32"/>
      <c r="H70" s="34"/>
      <c r="I70" s="34"/>
      <c r="J70" s="34"/>
      <c r="K70" s="34"/>
      <c r="L70" s="35"/>
    </row>
    <row r="71" spans="1:12" ht="15.75" x14ac:dyDescent="0.25">
      <c r="A71" s="31"/>
      <c r="B71" s="32"/>
      <c r="C71" s="32"/>
      <c r="D71" s="33"/>
      <c r="E71" s="33"/>
      <c r="F71" s="33"/>
      <c r="G71" s="32"/>
      <c r="H71" s="34"/>
      <c r="I71" s="34"/>
      <c r="J71" s="34"/>
      <c r="K71" s="34"/>
      <c r="L71" s="35"/>
    </row>
    <row r="72" spans="1:12" ht="15.75" x14ac:dyDescent="0.25">
      <c r="A72" s="31"/>
      <c r="B72" s="32"/>
      <c r="C72" s="32"/>
      <c r="D72" s="33"/>
      <c r="E72" s="33"/>
      <c r="F72" s="33"/>
      <c r="G72" s="32"/>
      <c r="H72" s="34"/>
      <c r="I72" s="34"/>
      <c r="J72" s="34"/>
      <c r="K72" s="34"/>
      <c r="L72" s="35"/>
    </row>
    <row r="73" spans="1:12" ht="15.75" x14ac:dyDescent="0.25">
      <c r="A73" s="31"/>
      <c r="B73" s="32"/>
      <c r="C73" s="32"/>
      <c r="D73" s="33"/>
      <c r="E73" s="33"/>
      <c r="F73" s="33"/>
      <c r="G73" s="32"/>
      <c r="H73" s="34"/>
      <c r="I73" s="34"/>
      <c r="J73" s="34"/>
      <c r="K73" s="34"/>
      <c r="L73" s="35"/>
    </row>
    <row r="74" spans="1:12" ht="15.75" x14ac:dyDescent="0.25">
      <c r="A74" s="31"/>
      <c r="B74" s="32"/>
      <c r="C74" s="32"/>
      <c r="D74" s="33"/>
      <c r="E74" s="33"/>
      <c r="F74" s="33"/>
      <c r="G74" s="32"/>
      <c r="H74" s="34"/>
      <c r="I74" s="34"/>
      <c r="J74" s="34"/>
      <c r="K74" s="34"/>
      <c r="L74" s="35"/>
    </row>
    <row r="75" spans="1:12" ht="15.75" x14ac:dyDescent="0.25">
      <c r="A75" s="31"/>
      <c r="B75" s="32"/>
      <c r="C75" s="32"/>
      <c r="D75" s="33"/>
      <c r="E75" s="33"/>
      <c r="F75" s="33"/>
      <c r="G75" s="32"/>
      <c r="H75" s="34"/>
      <c r="I75" s="34"/>
      <c r="J75" s="34"/>
      <c r="K75" s="34"/>
      <c r="L75" s="35"/>
    </row>
    <row r="76" spans="1:12" ht="15.75" x14ac:dyDescent="0.25">
      <c r="A76" s="31"/>
      <c r="B76" s="32"/>
      <c r="C76" s="32"/>
      <c r="D76" s="33"/>
      <c r="E76" s="33"/>
      <c r="F76" s="33"/>
      <c r="G76" s="32"/>
      <c r="H76" s="34"/>
      <c r="I76" s="34"/>
      <c r="J76" s="34"/>
      <c r="K76" s="34"/>
      <c r="L76" s="35"/>
    </row>
    <row r="77" spans="1:12" ht="15.75" x14ac:dyDescent="0.25">
      <c r="A77" s="31"/>
      <c r="B77" s="32"/>
      <c r="C77" s="32"/>
      <c r="D77" s="33"/>
      <c r="E77" s="33"/>
      <c r="F77" s="33"/>
      <c r="G77" s="32"/>
      <c r="H77" s="34"/>
      <c r="I77" s="34"/>
      <c r="J77" s="34"/>
      <c r="K77" s="34"/>
      <c r="L77" s="35"/>
    </row>
    <row r="78" spans="1:12" ht="15.75" x14ac:dyDescent="0.25">
      <c r="A78" s="31"/>
      <c r="B78" s="32"/>
      <c r="C78" s="32"/>
      <c r="D78" s="33"/>
      <c r="E78" s="33"/>
      <c r="F78" s="33"/>
      <c r="G78" s="32"/>
      <c r="H78" s="34"/>
      <c r="I78" s="34"/>
      <c r="J78" s="34"/>
      <c r="K78" s="34"/>
      <c r="L78" s="35"/>
    </row>
    <row r="79" spans="1:12" ht="15.75" x14ac:dyDescent="0.25">
      <c r="A79" s="31"/>
      <c r="B79" s="32"/>
      <c r="C79" s="32"/>
      <c r="D79" s="33"/>
      <c r="E79" s="33"/>
      <c r="F79" s="33"/>
      <c r="G79" s="32"/>
      <c r="H79" s="34"/>
      <c r="I79" s="34"/>
      <c r="J79" s="34"/>
      <c r="K79" s="34"/>
      <c r="L79" s="35"/>
    </row>
    <row r="80" spans="1:12" ht="15.75" x14ac:dyDescent="0.25">
      <c r="A80" s="31"/>
      <c r="B80" s="32"/>
      <c r="C80" s="32"/>
      <c r="D80" s="33"/>
      <c r="E80" s="33"/>
      <c r="F80" s="33"/>
      <c r="G80" s="32"/>
      <c r="H80" s="34"/>
      <c r="I80" s="34"/>
      <c r="J80" s="34"/>
      <c r="K80" s="34"/>
      <c r="L80" s="35"/>
    </row>
    <row r="81" spans="1:12" ht="15.75" x14ac:dyDescent="0.25">
      <c r="A81" s="31"/>
      <c r="B81" s="32"/>
      <c r="C81" s="32"/>
      <c r="D81" s="33"/>
      <c r="E81" s="33"/>
      <c r="F81" s="33"/>
      <c r="G81" s="32"/>
      <c r="H81" s="36"/>
      <c r="I81" s="37"/>
      <c r="J81" s="37"/>
      <c r="K81" s="37"/>
      <c r="L81" s="38"/>
    </row>
    <row r="82" spans="1:12" ht="15.75" x14ac:dyDescent="0.25">
      <c r="A82" s="31"/>
      <c r="B82" s="32"/>
      <c r="C82" s="32"/>
      <c r="D82" s="33"/>
      <c r="E82" s="33"/>
      <c r="F82" s="33"/>
      <c r="G82" s="32"/>
      <c r="H82" s="36"/>
      <c r="I82" s="37"/>
      <c r="J82" s="37"/>
      <c r="K82" s="37"/>
      <c r="L82" s="38"/>
    </row>
    <row r="83" spans="1:12" ht="15.75" x14ac:dyDescent="0.25">
      <c r="A83" s="31"/>
      <c r="B83" s="32"/>
      <c r="C83" s="32"/>
      <c r="D83" s="33"/>
      <c r="E83" s="33"/>
      <c r="F83" s="33"/>
      <c r="G83" s="32"/>
      <c r="H83" s="36"/>
      <c r="I83" s="37"/>
      <c r="J83" s="37"/>
      <c r="K83" s="37"/>
      <c r="L83" s="38"/>
    </row>
    <row r="84" spans="1:12" ht="15.75" x14ac:dyDescent="0.25">
      <c r="A84" s="31"/>
      <c r="B84" s="32"/>
      <c r="C84" s="32"/>
      <c r="D84" s="33"/>
      <c r="E84" s="33"/>
      <c r="F84" s="33"/>
      <c r="G84" s="32"/>
      <c r="H84" s="36"/>
      <c r="I84" s="37"/>
      <c r="J84" s="37"/>
      <c r="K84" s="37"/>
      <c r="L84" s="38"/>
    </row>
    <row r="85" spans="1:12" ht="15.75" x14ac:dyDescent="0.25">
      <c r="A85" s="31"/>
      <c r="B85" s="32"/>
      <c r="C85" s="32"/>
      <c r="D85" s="33"/>
      <c r="E85" s="33"/>
      <c r="F85" s="33"/>
      <c r="G85" s="32"/>
      <c r="H85" s="36"/>
      <c r="I85" s="37"/>
      <c r="J85" s="37"/>
      <c r="K85" s="37"/>
      <c r="L85" s="38"/>
    </row>
    <row r="86" spans="1:12" ht="15.75" x14ac:dyDescent="0.25">
      <c r="A86" s="31"/>
      <c r="B86" s="32"/>
      <c r="C86" s="32"/>
      <c r="D86" s="33"/>
      <c r="E86" s="33"/>
      <c r="F86" s="33"/>
      <c r="G86" s="32"/>
      <c r="H86" s="36"/>
      <c r="I86" s="37"/>
      <c r="J86" s="37"/>
      <c r="K86" s="37"/>
      <c r="L86" s="38"/>
    </row>
    <row r="87" spans="1:12" ht="15.75" x14ac:dyDescent="0.25">
      <c r="A87" s="31"/>
      <c r="B87" s="32"/>
      <c r="C87" s="32"/>
      <c r="D87" s="33"/>
      <c r="E87" s="33"/>
      <c r="F87" s="33"/>
      <c r="G87" s="32"/>
      <c r="H87" s="36"/>
      <c r="I87" s="37"/>
      <c r="J87" s="37"/>
      <c r="K87" s="37"/>
      <c r="L87" s="38"/>
    </row>
    <row r="88" spans="1:12" ht="15.75" x14ac:dyDescent="0.25">
      <c r="A88" s="31"/>
      <c r="B88" s="32"/>
      <c r="C88" s="32"/>
      <c r="D88" s="33"/>
      <c r="E88" s="33"/>
      <c r="F88" s="33"/>
      <c r="G88" s="32"/>
      <c r="H88" s="36"/>
      <c r="I88" s="37"/>
      <c r="J88" s="37"/>
      <c r="K88" s="37"/>
      <c r="L88" s="38"/>
    </row>
    <row r="89" spans="1:12" ht="15.75" x14ac:dyDescent="0.25">
      <c r="A89" s="31"/>
      <c r="B89" s="32"/>
      <c r="C89" s="32"/>
      <c r="D89" s="33"/>
      <c r="E89" s="33"/>
      <c r="F89" s="33"/>
      <c r="G89" s="32"/>
      <c r="H89" s="36"/>
      <c r="I89" s="37"/>
      <c r="J89" s="37"/>
      <c r="K89" s="37"/>
      <c r="L89" s="38"/>
    </row>
    <row r="90" spans="1:12" ht="15.75" x14ac:dyDescent="0.25">
      <c r="A90" s="31"/>
      <c r="B90" s="32"/>
      <c r="C90" s="32"/>
      <c r="D90" s="33"/>
      <c r="E90" s="33"/>
      <c r="F90" s="33"/>
      <c r="G90" s="32"/>
      <c r="H90" s="36"/>
      <c r="I90" s="37"/>
      <c r="J90" s="37"/>
      <c r="K90" s="37"/>
      <c r="L90" s="38"/>
    </row>
    <row r="91" spans="1:12" ht="15.75" x14ac:dyDescent="0.25">
      <c r="A91" s="31"/>
      <c r="B91" s="32"/>
      <c r="C91" s="32"/>
      <c r="D91" s="33"/>
      <c r="E91" s="33"/>
      <c r="F91" s="33"/>
      <c r="G91" s="32"/>
      <c r="H91" s="36"/>
      <c r="I91" s="37"/>
      <c r="J91" s="37"/>
      <c r="K91" s="37"/>
      <c r="L91" s="38"/>
    </row>
    <row r="92" spans="1:12" ht="15.75" x14ac:dyDescent="0.25">
      <c r="A92" s="31"/>
      <c r="B92" s="32"/>
      <c r="C92" s="32"/>
      <c r="D92" s="33"/>
      <c r="E92" s="33"/>
      <c r="F92" s="33"/>
      <c r="G92" s="32"/>
      <c r="H92" s="36"/>
      <c r="I92" s="37"/>
      <c r="J92" s="37"/>
      <c r="K92" s="37"/>
      <c r="L92" s="38"/>
    </row>
    <row r="93" spans="1:12" ht="15.75" x14ac:dyDescent="0.25">
      <c r="A93" s="31"/>
      <c r="B93" s="32"/>
      <c r="C93" s="32"/>
      <c r="D93" s="33"/>
      <c r="E93" s="33"/>
      <c r="F93" s="33"/>
      <c r="G93" s="32"/>
      <c r="H93" s="36"/>
      <c r="I93" s="37"/>
      <c r="J93" s="37"/>
      <c r="K93" s="37"/>
      <c r="L93" s="38"/>
    </row>
    <row r="94" spans="1:12" ht="15.75" x14ac:dyDescent="0.25">
      <c r="A94" s="31"/>
      <c r="B94" s="32"/>
      <c r="C94" s="32"/>
      <c r="D94" s="33"/>
      <c r="E94" s="33"/>
      <c r="F94" s="33"/>
      <c r="G94" s="32"/>
      <c r="H94" s="36"/>
      <c r="I94" s="37"/>
      <c r="J94" s="37"/>
      <c r="K94" s="37"/>
      <c r="L94" s="38"/>
    </row>
    <row r="95" spans="1:12" ht="15.75" x14ac:dyDescent="0.25">
      <c r="A95" s="31"/>
      <c r="B95" s="32"/>
      <c r="C95" s="32"/>
      <c r="D95" s="33"/>
      <c r="E95" s="33"/>
      <c r="F95" s="33"/>
      <c r="G95" s="32"/>
      <c r="H95" s="36"/>
      <c r="I95" s="37"/>
      <c r="J95" s="37"/>
      <c r="K95" s="37"/>
      <c r="L95" s="38"/>
    </row>
    <row r="96" spans="1:12" ht="15.75" x14ac:dyDescent="0.25">
      <c r="A96" s="31"/>
      <c r="B96" s="32"/>
      <c r="C96" s="32"/>
      <c r="D96" s="33"/>
      <c r="E96" s="33"/>
      <c r="F96" s="33"/>
      <c r="G96" s="32"/>
      <c r="H96" s="36"/>
      <c r="I96" s="37"/>
      <c r="J96" s="37"/>
      <c r="K96" s="37"/>
      <c r="L96" s="38"/>
    </row>
    <row r="97" spans="1:12" ht="15.75" x14ac:dyDescent="0.25">
      <c r="A97" s="31"/>
      <c r="B97" s="32"/>
      <c r="C97" s="32"/>
      <c r="D97" s="33"/>
      <c r="E97" s="33"/>
      <c r="F97" s="33"/>
      <c r="G97" s="32"/>
      <c r="H97" s="36"/>
      <c r="I97" s="37"/>
      <c r="J97" s="37"/>
      <c r="K97" s="37"/>
      <c r="L97" s="38"/>
    </row>
    <row r="98" spans="1:12" ht="15.75" x14ac:dyDescent="0.25">
      <c r="A98" s="31"/>
      <c r="B98" s="32"/>
      <c r="C98" s="32"/>
      <c r="D98" s="33"/>
      <c r="E98" s="33"/>
      <c r="F98" s="33"/>
      <c r="G98" s="32"/>
      <c r="H98" s="36"/>
      <c r="I98" s="37"/>
      <c r="J98" s="37"/>
      <c r="K98" s="37"/>
      <c r="L98" s="38"/>
    </row>
    <row r="99" spans="1:12" ht="15.75" x14ac:dyDescent="0.25">
      <c r="A99" s="31"/>
      <c r="B99" s="32"/>
      <c r="C99" s="32"/>
      <c r="D99" s="33"/>
      <c r="E99" s="33"/>
      <c r="F99" s="33"/>
      <c r="G99" s="32"/>
      <c r="H99" s="36"/>
      <c r="I99" s="37"/>
      <c r="J99" s="37"/>
      <c r="K99" s="37"/>
      <c r="L99" s="38"/>
    </row>
    <row r="100" spans="1:12" ht="15.75" x14ac:dyDescent="0.25">
      <c r="A100" s="31"/>
      <c r="B100" s="32"/>
      <c r="C100" s="32"/>
      <c r="D100" s="33"/>
      <c r="E100" s="33"/>
      <c r="F100" s="33"/>
      <c r="G100" s="32"/>
      <c r="H100" s="36"/>
      <c r="I100" s="37"/>
      <c r="J100" s="37"/>
      <c r="K100" s="37"/>
      <c r="L100" s="38"/>
    </row>
    <row r="101" spans="1:12" ht="15.75" x14ac:dyDescent="0.25">
      <c r="A101" s="31"/>
      <c r="B101" s="32"/>
      <c r="C101" s="32"/>
      <c r="D101" s="33"/>
      <c r="E101" s="33"/>
      <c r="F101" s="33"/>
      <c r="G101" s="32"/>
      <c r="H101" s="36"/>
      <c r="I101" s="37"/>
      <c r="J101" s="37"/>
      <c r="K101" s="37"/>
      <c r="L101" s="38"/>
    </row>
    <row r="102" spans="1:12" ht="15.75" x14ac:dyDescent="0.25">
      <c r="A102" s="31"/>
      <c r="B102" s="32"/>
      <c r="C102" s="32"/>
      <c r="D102" s="33"/>
      <c r="E102" s="33"/>
      <c r="F102" s="33"/>
      <c r="G102" s="32"/>
      <c r="H102" s="36"/>
      <c r="I102" s="37"/>
      <c r="J102" s="37"/>
      <c r="K102" s="37"/>
      <c r="L102" s="38"/>
    </row>
    <row r="103" spans="1:12" ht="15.75" x14ac:dyDescent="0.25">
      <c r="A103" s="31"/>
      <c r="B103" s="32"/>
      <c r="C103" s="32"/>
      <c r="D103" s="33"/>
      <c r="E103" s="33"/>
      <c r="F103" s="33"/>
      <c r="G103" s="32"/>
      <c r="H103" s="36"/>
      <c r="I103" s="37"/>
      <c r="J103" s="37"/>
      <c r="K103" s="37"/>
      <c r="L103" s="38"/>
    </row>
    <row r="104" spans="1:12" ht="15.75" x14ac:dyDescent="0.25">
      <c r="A104" s="31"/>
      <c r="B104" s="32"/>
      <c r="C104" s="32"/>
      <c r="D104" s="33"/>
      <c r="E104" s="33"/>
      <c r="F104" s="33"/>
      <c r="G104" s="32"/>
      <c r="H104" s="36"/>
      <c r="I104" s="37"/>
      <c r="J104" s="37"/>
      <c r="K104" s="37"/>
      <c r="L104" s="38"/>
    </row>
    <row r="105" spans="1:12" ht="15.75" x14ac:dyDescent="0.25">
      <c r="A105" s="31"/>
      <c r="B105" s="32"/>
      <c r="C105" s="32"/>
      <c r="D105" s="33"/>
      <c r="E105" s="33"/>
      <c r="F105" s="33"/>
      <c r="G105" s="32"/>
      <c r="H105" s="36"/>
      <c r="I105" s="37"/>
      <c r="J105" s="37"/>
      <c r="K105" s="37"/>
      <c r="L105" s="38"/>
    </row>
    <row r="106" spans="1:12" ht="15.75" x14ac:dyDescent="0.25">
      <c r="A106" s="31"/>
      <c r="B106" s="32"/>
      <c r="C106" s="32"/>
      <c r="D106" s="33"/>
      <c r="E106" s="33"/>
      <c r="F106" s="33"/>
      <c r="G106" s="32"/>
      <c r="H106" s="36"/>
      <c r="I106" s="37"/>
      <c r="J106" s="37"/>
      <c r="K106" s="37"/>
      <c r="L106" s="38"/>
    </row>
    <row r="107" spans="1:12" ht="15.75" x14ac:dyDescent="0.25">
      <c r="A107" s="31"/>
      <c r="B107" s="32"/>
      <c r="C107" s="32"/>
      <c r="D107" s="33"/>
      <c r="E107" s="33"/>
      <c r="F107" s="33"/>
      <c r="G107" s="32"/>
      <c r="H107" s="36"/>
      <c r="I107" s="37"/>
      <c r="J107" s="37"/>
      <c r="K107" s="37"/>
      <c r="L107" s="38"/>
    </row>
    <row r="108" spans="1:12" ht="15.75" x14ac:dyDescent="0.25">
      <c r="A108" s="31"/>
      <c r="B108" s="32"/>
      <c r="C108" s="32"/>
      <c r="D108" s="33"/>
      <c r="E108" s="33"/>
      <c r="F108" s="33"/>
      <c r="G108" s="32"/>
      <c r="H108" s="36"/>
      <c r="I108" s="37"/>
      <c r="J108" s="37"/>
      <c r="K108" s="37"/>
      <c r="L108" s="38"/>
    </row>
    <row r="109" spans="1:12" ht="15.75" x14ac:dyDescent="0.25">
      <c r="A109" s="31"/>
      <c r="B109" s="32"/>
      <c r="C109" s="32"/>
      <c r="D109" s="33"/>
      <c r="E109" s="33"/>
      <c r="F109" s="33"/>
      <c r="G109" s="32"/>
      <c r="H109" s="36"/>
      <c r="I109" s="37"/>
      <c r="J109" s="37"/>
      <c r="K109" s="37"/>
      <c r="L109" s="38"/>
    </row>
    <row r="110" spans="1:12" ht="15.75" x14ac:dyDescent="0.25">
      <c r="A110" s="31"/>
      <c r="B110" s="32"/>
      <c r="C110" s="32"/>
      <c r="D110" s="33"/>
      <c r="E110" s="33"/>
      <c r="F110" s="33"/>
      <c r="G110" s="32"/>
      <c r="H110" s="36"/>
      <c r="I110" s="37"/>
      <c r="J110" s="37"/>
      <c r="K110" s="37"/>
      <c r="L110" s="38"/>
    </row>
    <row r="111" spans="1:12" ht="15.75" x14ac:dyDescent="0.25">
      <c r="A111" s="31"/>
      <c r="B111" s="32"/>
      <c r="C111" s="32"/>
      <c r="D111" s="39"/>
      <c r="E111" s="39"/>
      <c r="F111" s="39"/>
      <c r="G111" s="32"/>
      <c r="H111" s="36"/>
      <c r="I111" s="37"/>
      <c r="J111" s="37"/>
      <c r="K111" s="37"/>
      <c r="L111" s="38"/>
    </row>
    <row r="112" spans="1:12" ht="15.75" x14ac:dyDescent="0.25">
      <c r="A112" s="31"/>
      <c r="B112" s="32"/>
      <c r="C112" s="32"/>
      <c r="D112" s="33"/>
      <c r="E112" s="33"/>
      <c r="F112" s="33"/>
      <c r="G112" s="32"/>
      <c r="H112" s="36"/>
      <c r="I112" s="37"/>
      <c r="J112" s="37"/>
      <c r="K112" s="37"/>
      <c r="L112" s="38"/>
    </row>
    <row r="113" spans="1:12" ht="15.75" x14ac:dyDescent="0.25">
      <c r="A113" s="31"/>
      <c r="B113" s="32"/>
      <c r="C113" s="32"/>
      <c r="D113" s="33"/>
      <c r="E113" s="33"/>
      <c r="F113" s="33"/>
      <c r="G113" s="32"/>
      <c r="H113" s="40"/>
      <c r="I113" s="41"/>
      <c r="J113" s="40"/>
      <c r="K113" s="42"/>
      <c r="L113" s="43"/>
    </row>
    <row r="114" spans="1:12" ht="15.75" x14ac:dyDescent="0.25">
      <c r="A114" s="31"/>
      <c r="B114" s="32"/>
      <c r="C114" s="32"/>
      <c r="D114" s="33"/>
      <c r="E114" s="33"/>
      <c r="F114" s="33"/>
      <c r="G114" s="32"/>
      <c r="H114" s="42"/>
      <c r="I114" s="44"/>
      <c r="J114" s="42"/>
      <c r="K114" s="42"/>
      <c r="L114" s="43"/>
    </row>
    <row r="115" spans="1:12" ht="15.75" x14ac:dyDescent="0.25">
      <c r="A115" s="31"/>
      <c r="B115" s="32"/>
      <c r="C115" s="32"/>
      <c r="D115" s="33"/>
      <c r="E115" s="33"/>
      <c r="F115" s="33"/>
      <c r="G115" s="32"/>
      <c r="H115" s="42"/>
      <c r="I115" s="44"/>
      <c r="J115" s="42"/>
      <c r="K115" s="42"/>
      <c r="L115" s="43"/>
    </row>
    <row r="116" spans="1:12" ht="15.75" x14ac:dyDescent="0.25">
      <c r="A116" s="31"/>
      <c r="B116" s="32"/>
      <c r="C116" s="32"/>
      <c r="D116" s="33"/>
      <c r="E116" s="33"/>
      <c r="F116" s="33"/>
      <c r="G116" s="32"/>
      <c r="H116" s="42"/>
      <c r="I116" s="44"/>
      <c r="J116" s="42"/>
      <c r="K116" s="42"/>
      <c r="L116" s="43"/>
    </row>
    <row r="117" spans="1:12" ht="15.75" x14ac:dyDescent="0.25">
      <c r="A117" s="31"/>
      <c r="B117" s="32"/>
      <c r="C117" s="32"/>
      <c r="D117" s="33"/>
      <c r="E117" s="33"/>
      <c r="F117" s="33"/>
      <c r="G117" s="32"/>
      <c r="H117" s="42"/>
      <c r="I117" s="44"/>
      <c r="J117" s="42"/>
      <c r="K117" s="42"/>
      <c r="L117" s="43"/>
    </row>
    <row r="118" spans="1:12" ht="15.75" x14ac:dyDescent="0.25">
      <c r="A118" s="31"/>
      <c r="B118" s="32"/>
      <c r="C118" s="32"/>
      <c r="D118" s="33"/>
      <c r="E118" s="33"/>
      <c r="F118" s="33"/>
      <c r="G118" s="32"/>
      <c r="H118" s="42"/>
      <c r="I118" s="44"/>
      <c r="J118" s="42"/>
      <c r="K118" s="42"/>
      <c r="L118" s="43"/>
    </row>
    <row r="119" spans="1:12" ht="15.75" x14ac:dyDescent="0.25">
      <c r="A119" s="31"/>
      <c r="B119" s="32"/>
      <c r="C119" s="32"/>
      <c r="D119" s="33"/>
      <c r="E119" s="33"/>
      <c r="F119" s="33"/>
      <c r="G119" s="32"/>
      <c r="H119" s="42"/>
      <c r="I119" s="44"/>
      <c r="J119" s="42"/>
      <c r="K119" s="42"/>
      <c r="L119" s="43"/>
    </row>
    <row r="120" spans="1:12" ht="15.75" x14ac:dyDescent="0.25">
      <c r="A120" s="31"/>
      <c r="B120" s="32"/>
      <c r="C120" s="32"/>
      <c r="D120" s="33"/>
      <c r="E120" s="33"/>
      <c r="F120" s="33"/>
      <c r="G120" s="32"/>
      <c r="H120" s="42"/>
      <c r="I120" s="44"/>
      <c r="J120" s="42"/>
      <c r="K120" s="42"/>
      <c r="L120" s="43"/>
    </row>
    <row r="121" spans="1:12" ht="15.75" x14ac:dyDescent="0.25">
      <c r="A121" s="31"/>
      <c r="B121" s="32"/>
      <c r="C121" s="32"/>
      <c r="D121" s="33"/>
      <c r="E121" s="33"/>
      <c r="F121" s="33"/>
      <c r="G121" s="32"/>
      <c r="H121" s="42"/>
      <c r="I121" s="44"/>
      <c r="J121" s="42"/>
      <c r="K121" s="42"/>
      <c r="L121" s="43"/>
    </row>
    <row r="122" spans="1:12" ht="15.75" x14ac:dyDescent="0.25">
      <c r="A122" s="31"/>
      <c r="B122" s="32"/>
      <c r="C122" s="32"/>
      <c r="D122" s="33"/>
      <c r="E122" s="33"/>
      <c r="F122" s="33"/>
      <c r="G122" s="32"/>
      <c r="H122" s="40"/>
      <c r="I122" s="44"/>
      <c r="J122" s="42"/>
      <c r="K122" s="42"/>
      <c r="L122" s="43"/>
    </row>
    <row r="123" spans="1:12" ht="15.75" x14ac:dyDescent="0.25">
      <c r="A123" s="31"/>
      <c r="B123" s="32"/>
      <c r="C123" s="32"/>
      <c r="D123" s="33"/>
      <c r="E123" s="33"/>
      <c r="F123" s="33"/>
      <c r="G123" s="32"/>
      <c r="H123" s="42"/>
      <c r="I123" s="44"/>
      <c r="J123" s="42"/>
      <c r="K123" s="42"/>
      <c r="L123" s="43"/>
    </row>
    <row r="124" spans="1:12" ht="15.75" x14ac:dyDescent="0.25">
      <c r="A124" s="31"/>
      <c r="B124" s="32"/>
      <c r="C124" s="32"/>
      <c r="D124" s="33"/>
      <c r="E124" s="33"/>
      <c r="F124" s="33"/>
      <c r="G124" s="32"/>
      <c r="H124" s="42"/>
      <c r="I124" s="44"/>
      <c r="J124" s="42"/>
      <c r="K124" s="42"/>
      <c r="L124" s="43"/>
    </row>
    <row r="125" spans="1:12" ht="15.75" x14ac:dyDescent="0.25">
      <c r="A125" s="31"/>
      <c r="B125" s="32"/>
      <c r="C125" s="32"/>
      <c r="D125" s="33"/>
      <c r="E125" s="33"/>
      <c r="F125" s="33"/>
      <c r="G125" s="32"/>
      <c r="H125" s="42"/>
      <c r="I125" s="44"/>
      <c r="J125" s="42"/>
      <c r="K125" s="42"/>
      <c r="L125" s="43"/>
    </row>
    <row r="126" spans="1:12" ht="15.75" x14ac:dyDescent="0.25">
      <c r="A126" s="31"/>
      <c r="B126" s="32"/>
      <c r="C126" s="32"/>
      <c r="D126" s="33"/>
      <c r="E126" s="33"/>
      <c r="F126" s="33"/>
      <c r="G126" s="32"/>
      <c r="H126" s="42"/>
      <c r="I126" s="44"/>
      <c r="J126" s="42"/>
      <c r="K126" s="42"/>
      <c r="L126" s="43"/>
    </row>
    <row r="127" spans="1:12" ht="15.75" x14ac:dyDescent="0.25">
      <c r="A127" s="31"/>
      <c r="B127" s="32"/>
      <c r="C127" s="32"/>
      <c r="D127" s="33"/>
      <c r="E127" s="33"/>
      <c r="F127" s="33"/>
      <c r="G127" s="32"/>
      <c r="H127" s="42"/>
      <c r="I127" s="44"/>
      <c r="J127" s="42"/>
      <c r="K127" s="42"/>
      <c r="L127" s="43"/>
    </row>
    <row r="128" spans="1:12" ht="15.75" x14ac:dyDescent="0.25">
      <c r="A128" s="31"/>
      <c r="B128" s="32"/>
      <c r="C128" s="32"/>
      <c r="D128" s="33"/>
      <c r="E128" s="33"/>
      <c r="F128" s="33"/>
      <c r="G128" s="32"/>
      <c r="H128" s="42"/>
      <c r="I128" s="44"/>
      <c r="J128" s="42"/>
      <c r="K128" s="42"/>
      <c r="L128" s="43"/>
    </row>
    <row r="129" spans="1:12" ht="15.75" x14ac:dyDescent="0.25">
      <c r="A129" s="31"/>
      <c r="B129" s="32"/>
      <c r="C129" s="32"/>
      <c r="D129" s="33"/>
      <c r="E129" s="33"/>
      <c r="F129" s="33"/>
      <c r="G129" s="32"/>
      <c r="H129" s="42"/>
      <c r="I129" s="44"/>
      <c r="J129" s="42"/>
      <c r="K129" s="42"/>
      <c r="L129" s="43"/>
    </row>
    <row r="130" spans="1:12" ht="15.75" x14ac:dyDescent="0.25">
      <c r="A130" s="31"/>
      <c r="B130" s="32"/>
      <c r="C130" s="32"/>
      <c r="D130" s="33"/>
      <c r="E130" s="33"/>
      <c r="F130" s="33"/>
      <c r="G130" s="32"/>
      <c r="H130" s="40"/>
      <c r="I130" s="44"/>
      <c r="J130" s="42"/>
      <c r="K130" s="42"/>
      <c r="L130" s="43"/>
    </row>
    <row r="131" spans="1:12" ht="15.75" x14ac:dyDescent="0.25">
      <c r="A131" s="31"/>
      <c r="B131" s="32"/>
      <c r="C131" s="32"/>
      <c r="D131" s="33"/>
      <c r="E131" s="33"/>
      <c r="F131" s="33"/>
      <c r="G131" s="32"/>
      <c r="H131" s="42"/>
      <c r="I131" s="44"/>
      <c r="J131" s="42"/>
      <c r="K131" s="42"/>
      <c r="L131" s="43"/>
    </row>
    <row r="132" spans="1:12" ht="15.75" x14ac:dyDescent="0.25">
      <c r="A132" s="31"/>
      <c r="B132" s="32"/>
      <c r="C132" s="32"/>
      <c r="D132" s="33"/>
      <c r="E132" s="33"/>
      <c r="F132" s="33"/>
      <c r="G132" s="32"/>
      <c r="H132" s="40"/>
      <c r="I132" s="44"/>
      <c r="J132" s="42"/>
      <c r="K132" s="42"/>
      <c r="L132" s="43"/>
    </row>
    <row r="133" spans="1:12" ht="15.75" x14ac:dyDescent="0.25">
      <c r="A133" s="31"/>
      <c r="B133" s="32"/>
      <c r="C133" s="32"/>
      <c r="D133" s="33"/>
      <c r="E133" s="33"/>
      <c r="F133" s="33"/>
      <c r="G133" s="32"/>
      <c r="H133" s="42"/>
      <c r="I133" s="44"/>
      <c r="J133" s="42"/>
      <c r="K133" s="42"/>
      <c r="L133" s="43"/>
    </row>
    <row r="134" spans="1:12" ht="15.75" x14ac:dyDescent="0.25">
      <c r="A134" s="31"/>
      <c r="B134" s="32"/>
      <c r="C134" s="32"/>
      <c r="D134" s="33"/>
      <c r="E134" s="33"/>
      <c r="F134" s="33"/>
      <c r="G134" s="32"/>
      <c r="H134" s="42"/>
      <c r="I134" s="44"/>
      <c r="J134" s="42"/>
      <c r="K134" s="42"/>
      <c r="L134" s="43"/>
    </row>
    <row r="135" spans="1:12" ht="15.75" x14ac:dyDescent="0.25">
      <c r="A135" s="31"/>
      <c r="B135" s="32"/>
      <c r="C135" s="32"/>
      <c r="D135" s="33"/>
      <c r="E135" s="33"/>
      <c r="F135" s="33"/>
      <c r="G135" s="32"/>
      <c r="H135" s="42"/>
      <c r="I135" s="44"/>
      <c r="J135" s="42"/>
      <c r="K135" s="42"/>
      <c r="L135" s="43"/>
    </row>
    <row r="136" spans="1:12" ht="15.75" x14ac:dyDescent="0.25">
      <c r="A136" s="31"/>
      <c r="B136" s="32"/>
      <c r="C136" s="32"/>
      <c r="D136" s="33"/>
      <c r="E136" s="33"/>
      <c r="F136" s="33"/>
      <c r="G136" s="32"/>
      <c r="H136" s="42"/>
      <c r="I136" s="44"/>
      <c r="J136" s="42"/>
      <c r="K136" s="42"/>
      <c r="L136" s="43"/>
    </row>
    <row r="137" spans="1:12" ht="15.75" x14ac:dyDescent="0.25">
      <c r="A137" s="31"/>
      <c r="B137" s="32"/>
      <c r="C137" s="32"/>
      <c r="D137" s="33"/>
      <c r="E137" s="33"/>
      <c r="F137" s="33"/>
      <c r="G137" s="32"/>
      <c r="H137" s="40"/>
      <c r="I137" s="44"/>
      <c r="J137" s="42"/>
      <c r="K137" s="42"/>
      <c r="L137" s="43"/>
    </row>
    <row r="138" spans="1:12" ht="15.75" x14ac:dyDescent="0.25">
      <c r="A138" s="31"/>
      <c r="B138" s="32"/>
      <c r="C138" s="32"/>
      <c r="D138" s="33"/>
      <c r="E138" s="33"/>
      <c r="F138" s="33"/>
      <c r="G138" s="32"/>
      <c r="H138" s="42"/>
      <c r="I138" s="44"/>
      <c r="J138" s="42"/>
      <c r="K138" s="42"/>
      <c r="L138" s="43"/>
    </row>
    <row r="139" spans="1:12" ht="15.75" x14ac:dyDescent="0.25">
      <c r="A139" s="31"/>
      <c r="B139" s="32"/>
      <c r="C139" s="32"/>
      <c r="D139" s="33"/>
      <c r="E139" s="33"/>
      <c r="F139" s="33"/>
      <c r="G139" s="32"/>
      <c r="H139" s="42"/>
      <c r="I139" s="44"/>
      <c r="J139" s="42"/>
      <c r="K139" s="42"/>
      <c r="L139" s="43"/>
    </row>
    <row r="140" spans="1:12" ht="15.75" x14ac:dyDescent="0.25">
      <c r="A140" s="31"/>
      <c r="B140" s="32"/>
      <c r="C140" s="32"/>
      <c r="D140" s="33"/>
      <c r="E140" s="33"/>
      <c r="F140" s="33"/>
      <c r="G140" s="32"/>
      <c r="H140" s="42"/>
      <c r="I140" s="44"/>
      <c r="J140" s="42"/>
      <c r="K140" s="42"/>
      <c r="L140" s="43"/>
    </row>
    <row r="141" spans="1:12" ht="15.75" x14ac:dyDescent="0.25">
      <c r="A141" s="31"/>
      <c r="B141" s="32"/>
      <c r="C141" s="32"/>
      <c r="D141" s="33"/>
      <c r="E141" s="33"/>
      <c r="F141" s="33"/>
      <c r="G141" s="32"/>
      <c r="H141" s="42"/>
      <c r="I141" s="44"/>
      <c r="J141" s="42"/>
      <c r="K141" s="42"/>
      <c r="L141" s="43"/>
    </row>
    <row r="142" spans="1:12" ht="15.75" x14ac:dyDescent="0.25">
      <c r="A142" s="31"/>
      <c r="B142" s="32"/>
      <c r="C142" s="32"/>
      <c r="D142" s="33"/>
      <c r="E142" s="33"/>
      <c r="F142" s="33"/>
      <c r="G142" s="32"/>
      <c r="H142" s="36"/>
      <c r="I142" s="37"/>
      <c r="J142" s="36"/>
      <c r="K142" s="36"/>
      <c r="L142" s="38"/>
    </row>
    <row r="143" spans="1:12" ht="15.75" x14ac:dyDescent="0.25">
      <c r="A143" s="31"/>
      <c r="B143" s="32"/>
      <c r="C143" s="32"/>
      <c r="D143" s="33"/>
      <c r="E143" s="33"/>
      <c r="F143" s="33"/>
      <c r="G143" s="32"/>
      <c r="H143" s="36"/>
      <c r="I143" s="37"/>
      <c r="J143" s="36"/>
      <c r="K143" s="36"/>
      <c r="L143" s="38"/>
    </row>
    <row r="144" spans="1:12" ht="15.75" x14ac:dyDescent="0.25">
      <c r="A144" s="31"/>
      <c r="B144" s="32"/>
      <c r="C144" s="32"/>
      <c r="D144" s="33"/>
      <c r="E144" s="33"/>
      <c r="F144" s="33"/>
      <c r="G144" s="32"/>
      <c r="H144" s="36"/>
      <c r="I144" s="37"/>
      <c r="J144" s="36"/>
      <c r="K144" s="36"/>
      <c r="L144" s="38"/>
    </row>
    <row r="145" spans="1:12" ht="15.75" x14ac:dyDescent="0.25">
      <c r="A145" s="31"/>
      <c r="B145" s="32"/>
      <c r="C145" s="32"/>
      <c r="D145" s="33"/>
      <c r="E145" s="33"/>
      <c r="F145" s="33"/>
      <c r="G145" s="32"/>
      <c r="H145" s="36"/>
      <c r="I145" s="37"/>
      <c r="J145" s="36"/>
      <c r="K145" s="36"/>
      <c r="L145" s="38"/>
    </row>
    <row r="146" spans="1:12" ht="15.75" x14ac:dyDescent="0.25">
      <c r="A146" s="31"/>
      <c r="B146" s="32"/>
      <c r="C146" s="32"/>
      <c r="D146" s="33"/>
      <c r="E146" s="33"/>
      <c r="F146" s="33"/>
      <c r="G146" s="32"/>
      <c r="H146" s="36"/>
      <c r="I146" s="37"/>
      <c r="J146" s="36"/>
      <c r="K146" s="36"/>
      <c r="L146" s="38"/>
    </row>
    <row r="147" spans="1:12" ht="15.75" x14ac:dyDescent="0.25">
      <c r="A147" s="31"/>
      <c r="B147" s="32"/>
      <c r="C147" s="32"/>
      <c r="D147" s="33"/>
      <c r="E147" s="33"/>
      <c r="F147" s="33"/>
      <c r="G147" s="32"/>
      <c r="H147" s="36"/>
      <c r="I147" s="37"/>
      <c r="J147" s="36"/>
      <c r="K147" s="36"/>
      <c r="L147" s="38"/>
    </row>
    <row r="148" spans="1:12" ht="15.75" x14ac:dyDescent="0.25">
      <c r="A148" s="31"/>
      <c r="B148" s="32"/>
      <c r="C148" s="32"/>
      <c r="D148" s="33"/>
      <c r="E148" s="33"/>
      <c r="F148" s="33"/>
      <c r="G148" s="32"/>
      <c r="H148" s="36"/>
      <c r="I148" s="37"/>
      <c r="J148" s="36"/>
      <c r="K148" s="36"/>
      <c r="L148" s="38"/>
    </row>
    <row r="149" spans="1:12" ht="15.75" x14ac:dyDescent="0.25">
      <c r="A149" s="31"/>
      <c r="B149" s="32"/>
      <c r="C149" s="32"/>
      <c r="D149" s="33"/>
      <c r="E149" s="33"/>
      <c r="F149" s="33"/>
      <c r="G149" s="32"/>
      <c r="H149" s="36"/>
      <c r="I149" s="37"/>
      <c r="J149" s="36"/>
      <c r="K149" s="36"/>
      <c r="L149" s="38"/>
    </row>
    <row r="150" spans="1:12" ht="15.75" x14ac:dyDescent="0.25">
      <c r="A150" s="31"/>
      <c r="B150" s="32"/>
      <c r="C150" s="32"/>
      <c r="D150" s="33"/>
      <c r="E150" s="33"/>
      <c r="F150" s="33"/>
      <c r="G150" s="32"/>
      <c r="H150" s="36"/>
      <c r="I150" s="37"/>
      <c r="J150" s="36"/>
      <c r="K150" s="36"/>
      <c r="L150" s="38"/>
    </row>
    <row r="151" spans="1:12" ht="15.75" x14ac:dyDescent="0.25">
      <c r="A151" s="31"/>
      <c r="B151" s="32"/>
      <c r="C151" s="32"/>
      <c r="D151" s="33"/>
      <c r="E151" s="33"/>
      <c r="F151" s="33"/>
      <c r="G151" s="32"/>
      <c r="H151" s="36"/>
      <c r="I151" s="37"/>
      <c r="J151" s="37"/>
      <c r="K151" s="37"/>
      <c r="L151" s="38"/>
    </row>
    <row r="152" spans="1:12" ht="15.75" x14ac:dyDescent="0.25">
      <c r="A152" s="31"/>
      <c r="B152" s="32"/>
      <c r="C152" s="32"/>
      <c r="D152" s="33"/>
      <c r="E152" s="33"/>
      <c r="F152" s="33"/>
      <c r="G152" s="32"/>
      <c r="H152" s="36"/>
      <c r="I152" s="37"/>
      <c r="J152" s="37"/>
      <c r="K152" s="37"/>
      <c r="L152" s="38"/>
    </row>
    <row r="153" spans="1:12" ht="15.75" x14ac:dyDescent="0.25">
      <c r="A153" s="31"/>
      <c r="B153" s="32"/>
      <c r="C153" s="32"/>
      <c r="D153" s="33"/>
      <c r="E153" s="33"/>
      <c r="F153" s="33"/>
      <c r="G153" s="32"/>
      <c r="H153" s="36"/>
      <c r="I153" s="37"/>
      <c r="J153" s="37"/>
      <c r="K153" s="37"/>
      <c r="L153" s="38"/>
    </row>
    <row r="154" spans="1:12" ht="15.75" x14ac:dyDescent="0.25">
      <c r="A154" s="31"/>
      <c r="B154" s="32"/>
      <c r="C154" s="32"/>
      <c r="D154" s="33"/>
      <c r="E154" s="33"/>
      <c r="F154" s="33"/>
      <c r="G154" s="32"/>
      <c r="H154" s="36"/>
      <c r="I154" s="37"/>
      <c r="J154" s="37"/>
      <c r="K154" s="37"/>
      <c r="L154" s="38"/>
    </row>
    <row r="155" spans="1:12" ht="15.75" x14ac:dyDescent="0.25">
      <c r="A155" s="31"/>
      <c r="B155" s="32"/>
      <c r="C155" s="32"/>
      <c r="D155" s="33"/>
      <c r="E155" s="33"/>
      <c r="F155" s="33"/>
      <c r="G155" s="32"/>
      <c r="H155" s="36"/>
      <c r="I155" s="37"/>
      <c r="J155" s="37"/>
      <c r="K155" s="37"/>
      <c r="L155" s="38"/>
    </row>
    <row r="156" spans="1:12" ht="15.75" x14ac:dyDescent="0.25">
      <c r="A156" s="31"/>
      <c r="B156" s="32"/>
      <c r="C156" s="32"/>
      <c r="D156" s="33"/>
      <c r="E156" s="33"/>
      <c r="F156" s="33"/>
      <c r="G156" s="32"/>
      <c r="H156" s="36"/>
      <c r="I156" s="37"/>
      <c r="J156" s="37"/>
      <c r="K156" s="37"/>
      <c r="L156" s="38"/>
    </row>
    <row r="157" spans="1:12" ht="15.75" x14ac:dyDescent="0.25">
      <c r="A157" s="31"/>
      <c r="B157" s="32"/>
      <c r="C157" s="32"/>
      <c r="D157" s="33"/>
      <c r="E157" s="33"/>
      <c r="F157" s="33"/>
      <c r="G157" s="32"/>
      <c r="H157" s="36"/>
      <c r="I157" s="37"/>
      <c r="J157" s="37"/>
      <c r="K157" s="37"/>
      <c r="L157" s="38"/>
    </row>
    <row r="158" spans="1:12" ht="15.75" x14ac:dyDescent="0.25">
      <c r="A158" s="31"/>
      <c r="B158" s="32"/>
      <c r="C158" s="32"/>
      <c r="D158" s="33"/>
      <c r="E158" s="33"/>
      <c r="F158" s="33"/>
      <c r="G158" s="32"/>
      <c r="H158" s="36"/>
      <c r="I158" s="37"/>
      <c r="J158" s="37"/>
      <c r="K158" s="37"/>
      <c r="L158" s="38"/>
    </row>
    <row r="159" spans="1:12" ht="15.75" x14ac:dyDescent="0.25">
      <c r="A159" s="31"/>
      <c r="B159" s="32"/>
      <c r="C159" s="32"/>
      <c r="D159" s="33"/>
      <c r="E159" s="33"/>
      <c r="F159" s="33"/>
      <c r="G159" s="32"/>
      <c r="H159" s="36"/>
      <c r="I159" s="37"/>
      <c r="J159" s="37"/>
      <c r="K159" s="37"/>
      <c r="L159" s="38"/>
    </row>
    <row r="160" spans="1:12" ht="15.75" x14ac:dyDescent="0.25">
      <c r="A160" s="31"/>
      <c r="B160" s="32"/>
      <c r="C160" s="32"/>
      <c r="D160" s="33"/>
      <c r="E160" s="33"/>
      <c r="F160" s="33"/>
      <c r="G160" s="32"/>
      <c r="H160" s="36"/>
      <c r="I160" s="37"/>
      <c r="J160" s="37"/>
      <c r="K160" s="37"/>
      <c r="L160" s="38"/>
    </row>
    <row r="161" spans="1:12" ht="15.75" x14ac:dyDescent="0.25">
      <c r="A161" s="31"/>
      <c r="B161" s="32"/>
      <c r="C161" s="32"/>
      <c r="D161" s="33"/>
      <c r="E161" s="33"/>
      <c r="F161" s="33"/>
      <c r="G161" s="32"/>
      <c r="H161" s="36"/>
      <c r="I161" s="37"/>
      <c r="J161" s="37"/>
      <c r="K161" s="37"/>
      <c r="L161" s="38"/>
    </row>
    <row r="162" spans="1:12" ht="15.75" x14ac:dyDescent="0.25">
      <c r="A162" s="31"/>
      <c r="B162" s="32"/>
      <c r="C162" s="32"/>
      <c r="D162" s="33"/>
      <c r="E162" s="33"/>
      <c r="F162" s="33"/>
      <c r="G162" s="32"/>
      <c r="H162" s="36"/>
      <c r="I162" s="37"/>
      <c r="J162" s="37"/>
      <c r="K162" s="37"/>
      <c r="L162" s="38"/>
    </row>
    <row r="163" spans="1:12" ht="15.75" x14ac:dyDescent="0.25">
      <c r="A163" s="31"/>
      <c r="B163" s="32"/>
      <c r="C163" s="32"/>
      <c r="D163" s="33"/>
      <c r="E163" s="33"/>
      <c r="F163" s="33"/>
      <c r="G163" s="32"/>
      <c r="H163" s="36"/>
      <c r="I163" s="37"/>
      <c r="J163" s="37"/>
      <c r="K163" s="37"/>
      <c r="L163" s="38"/>
    </row>
    <row r="164" spans="1:12" ht="15.75" x14ac:dyDescent="0.25">
      <c r="A164" s="31"/>
      <c r="B164" s="32"/>
      <c r="C164" s="32"/>
      <c r="D164" s="33"/>
      <c r="E164" s="33"/>
      <c r="F164" s="33"/>
      <c r="G164" s="32"/>
      <c r="H164" s="36"/>
      <c r="I164" s="37"/>
      <c r="J164" s="37"/>
      <c r="K164" s="37"/>
      <c r="L164" s="38"/>
    </row>
    <row r="165" spans="1:12" ht="15.75" x14ac:dyDescent="0.25">
      <c r="A165" s="31"/>
      <c r="B165" s="32"/>
      <c r="C165" s="32"/>
      <c r="D165" s="33"/>
      <c r="E165" s="33"/>
      <c r="F165" s="33"/>
      <c r="G165" s="32"/>
      <c r="H165" s="36"/>
      <c r="I165" s="37"/>
      <c r="J165" s="37"/>
      <c r="K165" s="37"/>
      <c r="L165" s="38"/>
    </row>
    <row r="166" spans="1:12" ht="15.75" x14ac:dyDescent="0.25">
      <c r="A166" s="31"/>
      <c r="B166" s="32"/>
      <c r="C166" s="32"/>
      <c r="D166" s="33"/>
      <c r="E166" s="33"/>
      <c r="F166" s="33"/>
      <c r="G166" s="32"/>
      <c r="H166" s="36"/>
      <c r="I166" s="37"/>
      <c r="J166" s="37"/>
      <c r="K166" s="37"/>
      <c r="L166" s="38"/>
    </row>
    <row r="167" spans="1:12" ht="15.75" x14ac:dyDescent="0.25">
      <c r="A167" s="31"/>
      <c r="B167" s="32"/>
      <c r="C167" s="32"/>
      <c r="D167" s="33"/>
      <c r="E167" s="33"/>
      <c r="F167" s="33"/>
      <c r="G167" s="32"/>
      <c r="H167" s="36"/>
      <c r="I167" s="37"/>
      <c r="J167" s="37"/>
      <c r="K167" s="37"/>
      <c r="L167" s="38"/>
    </row>
    <row r="168" spans="1:12" ht="15.75" x14ac:dyDescent="0.25">
      <c r="A168" s="31"/>
      <c r="B168" s="32"/>
      <c r="C168" s="32"/>
      <c r="D168" s="33"/>
      <c r="E168" s="33"/>
      <c r="F168" s="33"/>
      <c r="G168" s="32"/>
      <c r="H168" s="36"/>
      <c r="I168" s="37"/>
      <c r="J168" s="37"/>
      <c r="K168" s="37"/>
      <c r="L168" s="38"/>
    </row>
    <row r="169" spans="1:12" ht="15.75" x14ac:dyDescent="0.25">
      <c r="A169" s="31"/>
      <c r="B169" s="32"/>
      <c r="C169" s="32"/>
      <c r="D169" s="33"/>
      <c r="E169" s="33"/>
      <c r="F169" s="33"/>
      <c r="G169" s="32"/>
      <c r="H169" s="36"/>
      <c r="I169" s="37"/>
      <c r="J169" s="37"/>
      <c r="K169" s="37"/>
      <c r="L169" s="38"/>
    </row>
    <row r="170" spans="1:12" ht="15.75" x14ac:dyDescent="0.25">
      <c r="A170" s="31"/>
      <c r="B170" s="32"/>
      <c r="C170" s="32"/>
      <c r="D170" s="33"/>
      <c r="E170" s="33"/>
      <c r="F170" s="33"/>
      <c r="G170" s="32"/>
      <c r="H170" s="36"/>
      <c r="I170" s="37"/>
      <c r="J170" s="37"/>
      <c r="K170" s="37"/>
      <c r="L170" s="38"/>
    </row>
  </sheetData>
  <mergeCells count="5">
    <mergeCell ref="A1:L1"/>
    <mergeCell ref="G2:K2"/>
    <mergeCell ref="A5:A8"/>
    <mergeCell ref="E5:E8"/>
    <mergeCell ref="G5:G8"/>
  </mergeCells>
  <pageMargins left="0.25" right="0.25" top="0.75" bottom="0.75" header="0.3" footer="0.3"/>
  <pageSetup paperSize="9" scale="7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38"/>
  <sheetViews>
    <sheetView workbookViewId="0">
      <pane xSplit="5" ySplit="4" topLeftCell="F5" activePane="bottomRight" state="frozen"/>
      <selection activeCell="M5" sqref="M5"/>
      <selection pane="topRight" activeCell="M5" sqref="M5"/>
      <selection pane="bottomLeft" activeCell="M5" sqref="M5"/>
      <selection pane="bottomRight" activeCell="J10" sqref="J10"/>
    </sheetView>
  </sheetViews>
  <sheetFormatPr defaultRowHeight="15" x14ac:dyDescent="0.25"/>
  <cols>
    <col min="1" max="1" width="13" customWidth="1"/>
    <col min="2" max="2" width="23.85546875" customWidth="1"/>
    <col min="3" max="3" width="18" customWidth="1"/>
    <col min="4" max="4" width="15.140625" customWidth="1"/>
    <col min="5" max="5" width="19.5703125" customWidth="1"/>
  </cols>
  <sheetData>
    <row r="1" spans="1:6" x14ac:dyDescent="0.25">
      <c r="A1" s="45"/>
      <c r="B1" s="365" t="s">
        <v>54</v>
      </c>
      <c r="C1" s="365"/>
      <c r="D1" s="365"/>
      <c r="E1" s="46"/>
    </row>
    <row r="2" spans="1:6" x14ac:dyDescent="0.25">
      <c r="A2" s="45"/>
      <c r="B2" s="365"/>
      <c r="C2" s="365"/>
      <c r="D2" s="365"/>
      <c r="E2" s="46"/>
    </row>
    <row r="3" spans="1:6" x14ac:dyDescent="0.25">
      <c r="A3" s="47"/>
      <c r="B3" s="47"/>
      <c r="C3" s="48" t="s">
        <v>23</v>
      </c>
      <c r="D3" s="48">
        <f>SUM(D5:D38)</f>
        <v>1950</v>
      </c>
      <c r="E3" s="47"/>
    </row>
    <row r="4" spans="1:6" x14ac:dyDescent="0.25">
      <c r="A4" s="49" t="s">
        <v>36</v>
      </c>
      <c r="B4" s="50" t="s">
        <v>55</v>
      </c>
      <c r="C4" s="50" t="s">
        <v>5</v>
      </c>
      <c r="D4" s="50" t="s">
        <v>56</v>
      </c>
      <c r="E4" s="51" t="s">
        <v>57</v>
      </c>
    </row>
    <row r="5" spans="1:6" s="244" customFormat="1" x14ac:dyDescent="0.25">
      <c r="A5" s="250">
        <v>45934</v>
      </c>
      <c r="B5" s="251" t="s">
        <v>169</v>
      </c>
      <c r="C5" s="251" t="s">
        <v>170</v>
      </c>
      <c r="D5" s="251">
        <v>500</v>
      </c>
      <c r="E5" s="246"/>
    </row>
    <row r="6" spans="1:6" ht="32.25" customHeight="1" x14ac:dyDescent="0.25">
      <c r="A6" s="250">
        <v>45935</v>
      </c>
      <c r="B6" s="251" t="s">
        <v>169</v>
      </c>
      <c r="C6" s="251" t="s">
        <v>170</v>
      </c>
      <c r="D6" s="251">
        <v>500</v>
      </c>
      <c r="E6" s="246"/>
    </row>
    <row r="7" spans="1:6" x14ac:dyDescent="0.25">
      <c r="A7" s="311">
        <v>45936</v>
      </c>
      <c r="B7" s="246" t="s">
        <v>169</v>
      </c>
      <c r="C7" s="246" t="s">
        <v>170</v>
      </c>
      <c r="D7" s="246">
        <v>500</v>
      </c>
      <c r="E7" s="252"/>
    </row>
    <row r="8" spans="1:6" s="102" customFormat="1" x14ac:dyDescent="0.25">
      <c r="A8" s="250">
        <v>45937</v>
      </c>
      <c r="B8" s="251" t="s">
        <v>221</v>
      </c>
      <c r="C8" s="251" t="s">
        <v>134</v>
      </c>
      <c r="D8" s="251">
        <v>50</v>
      </c>
      <c r="E8" s="314"/>
    </row>
    <row r="9" spans="1:6" x14ac:dyDescent="0.25">
      <c r="A9" s="312">
        <v>45938</v>
      </c>
      <c r="B9" s="313" t="s">
        <v>169</v>
      </c>
      <c r="C9" s="313" t="s">
        <v>170</v>
      </c>
      <c r="D9" s="245">
        <v>400</v>
      </c>
      <c r="E9" s="245"/>
    </row>
    <row r="10" spans="1:6" x14ac:dyDescent="0.25">
      <c r="A10" s="220"/>
      <c r="B10" s="102"/>
      <c r="C10" s="102"/>
      <c r="D10" s="208"/>
      <c r="E10" s="54"/>
    </row>
    <row r="11" spans="1:6" x14ac:dyDescent="0.25">
      <c r="A11" s="366" t="s">
        <v>223</v>
      </c>
      <c r="B11" s="367"/>
      <c r="C11" s="367"/>
      <c r="D11" s="367"/>
      <c r="E11" s="368"/>
    </row>
    <row r="12" spans="1:6" x14ac:dyDescent="0.25">
      <c r="A12" s="369"/>
      <c r="B12" s="370"/>
      <c r="C12" s="370"/>
      <c r="D12" s="370"/>
      <c r="E12" s="371"/>
    </row>
    <row r="13" spans="1:6" x14ac:dyDescent="0.25">
      <c r="A13" s="369"/>
      <c r="B13" s="370"/>
      <c r="C13" s="370"/>
      <c r="D13" s="370"/>
      <c r="E13" s="371"/>
      <c r="F13" s="73"/>
    </row>
    <row r="14" spans="1:6" x14ac:dyDescent="0.25">
      <c r="A14" s="369"/>
      <c r="B14" s="370"/>
      <c r="C14" s="370"/>
      <c r="D14" s="370"/>
      <c r="E14" s="371"/>
      <c r="F14" s="73"/>
    </row>
    <row r="15" spans="1:6" x14ac:dyDescent="0.25">
      <c r="A15" s="369"/>
      <c r="B15" s="370"/>
      <c r="C15" s="370"/>
      <c r="D15" s="370"/>
      <c r="E15" s="371"/>
      <c r="F15" s="73"/>
    </row>
    <row r="16" spans="1:6" x14ac:dyDescent="0.25">
      <c r="A16" s="372"/>
      <c r="B16" s="373"/>
      <c r="C16" s="373"/>
      <c r="D16" s="373"/>
      <c r="E16" s="374"/>
    </row>
    <row r="17" spans="1:5" x14ac:dyDescent="0.25">
      <c r="A17" s="205"/>
      <c r="B17" s="206"/>
      <c r="C17" s="206"/>
      <c r="D17" s="207"/>
      <c r="E17" s="76"/>
    </row>
    <row r="18" spans="1:5" x14ac:dyDescent="0.25">
      <c r="A18" s="205"/>
      <c r="B18" s="206"/>
      <c r="C18" s="206"/>
      <c r="D18" s="207"/>
      <c r="E18" s="76"/>
    </row>
    <row r="19" spans="1:5" x14ac:dyDescent="0.25">
      <c r="A19" s="56"/>
      <c r="B19" s="54"/>
      <c r="C19" s="54"/>
      <c r="D19" s="54"/>
      <c r="E19" s="54"/>
    </row>
    <row r="20" spans="1:5" x14ac:dyDescent="0.25">
      <c r="A20" s="56"/>
      <c r="B20" s="54"/>
      <c r="C20" s="54"/>
      <c r="D20" s="54"/>
      <c r="E20" s="54"/>
    </row>
    <row r="21" spans="1:5" x14ac:dyDescent="0.25">
      <c r="A21" s="56"/>
      <c r="B21" s="54"/>
      <c r="C21" s="54"/>
      <c r="D21" s="54"/>
      <c r="E21" s="54"/>
    </row>
    <row r="22" spans="1:5" x14ac:dyDescent="0.25">
      <c r="A22" s="56"/>
      <c r="B22" s="54"/>
      <c r="C22" s="54"/>
      <c r="D22" s="54"/>
      <c r="E22" s="54"/>
    </row>
    <row r="23" spans="1:5" x14ac:dyDescent="0.25">
      <c r="A23" s="56"/>
      <c r="B23" s="54"/>
      <c r="C23" s="54"/>
      <c r="D23" s="54"/>
      <c r="E23" s="54"/>
    </row>
    <row r="24" spans="1:5" x14ac:dyDescent="0.25">
      <c r="A24" s="56"/>
      <c r="B24" s="54"/>
      <c r="C24" s="54"/>
      <c r="D24" s="54"/>
      <c r="E24" s="54"/>
    </row>
    <row r="25" spans="1:5" x14ac:dyDescent="0.25">
      <c r="A25" s="56"/>
      <c r="B25" s="54"/>
      <c r="C25" s="54"/>
      <c r="D25" s="54"/>
      <c r="E25" s="54"/>
    </row>
    <row r="26" spans="1:5" x14ac:dyDescent="0.25">
      <c r="A26" s="56"/>
      <c r="B26" s="54"/>
      <c r="C26" s="54"/>
      <c r="D26" s="54"/>
      <c r="E26" s="54"/>
    </row>
    <row r="27" spans="1:5" x14ac:dyDescent="0.25">
      <c r="A27" s="56"/>
      <c r="B27" s="54"/>
      <c r="C27" s="54"/>
      <c r="D27" s="54"/>
      <c r="E27" s="54"/>
    </row>
    <row r="28" spans="1:5" x14ac:dyDescent="0.25">
      <c r="A28" s="56"/>
      <c r="B28" s="54"/>
      <c r="C28" s="54"/>
      <c r="D28" s="54"/>
      <c r="E28" s="54"/>
    </row>
    <row r="29" spans="1:5" x14ac:dyDescent="0.25">
      <c r="A29" s="56"/>
      <c r="B29" s="54"/>
      <c r="C29" s="54"/>
      <c r="D29" s="54"/>
      <c r="E29" s="54"/>
    </row>
    <row r="30" spans="1:5" x14ac:dyDescent="0.25">
      <c r="A30" s="56"/>
      <c r="B30" s="54"/>
      <c r="C30" s="54"/>
      <c r="D30" s="54"/>
      <c r="E30" s="54"/>
    </row>
    <row r="31" spans="1:5" x14ac:dyDescent="0.25">
      <c r="A31" s="56"/>
      <c r="B31" s="54"/>
      <c r="C31" s="54"/>
      <c r="D31" s="54"/>
      <c r="E31" s="54"/>
    </row>
    <row r="32" spans="1:5" x14ac:dyDescent="0.25">
      <c r="A32" s="56"/>
      <c r="B32" s="54"/>
      <c r="C32" s="54"/>
      <c r="D32" s="54"/>
      <c r="E32" s="54"/>
    </row>
    <row r="33" spans="1:5" x14ac:dyDescent="0.25">
      <c r="A33" s="56"/>
      <c r="B33" s="54"/>
      <c r="C33" s="54"/>
      <c r="D33" s="54"/>
      <c r="E33" s="54"/>
    </row>
    <row r="34" spans="1:5" x14ac:dyDescent="0.25">
      <c r="A34" s="56"/>
      <c r="B34" s="54"/>
      <c r="C34" s="54"/>
      <c r="D34" s="54"/>
      <c r="E34" s="54"/>
    </row>
    <row r="35" spans="1:5" x14ac:dyDescent="0.25">
      <c r="A35" s="56"/>
      <c r="B35" s="54"/>
      <c r="C35" s="54"/>
      <c r="D35" s="54"/>
      <c r="E35" s="54"/>
    </row>
    <row r="36" spans="1:5" x14ac:dyDescent="0.25">
      <c r="A36" s="56"/>
      <c r="B36" s="54"/>
      <c r="C36" s="54"/>
      <c r="D36" s="54"/>
      <c r="E36" s="54"/>
    </row>
    <row r="37" spans="1:5" x14ac:dyDescent="0.25">
      <c r="A37" s="56"/>
      <c r="B37" s="54"/>
      <c r="C37" s="54"/>
      <c r="D37" s="54"/>
      <c r="E37" s="54"/>
    </row>
    <row r="38" spans="1:5" x14ac:dyDescent="0.25">
      <c r="A38" s="56"/>
      <c r="B38" s="54"/>
      <c r="C38" s="54"/>
      <c r="D38" s="54"/>
      <c r="E38" s="54"/>
    </row>
  </sheetData>
  <mergeCells count="2">
    <mergeCell ref="B1:D2"/>
    <mergeCell ref="A11:E16"/>
  </mergeCells>
  <dataValidations count="1">
    <dataValidation type="whole" allowBlank="1" showInputMessage="1" showErrorMessage="1" sqref="E17:E18" xr:uid="{00000000-0002-0000-0800-000000000000}">
      <formula1>0</formula1>
      <formula2>100000</formula2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9"/>
  <sheetViews>
    <sheetView workbookViewId="0">
      <selection activeCell="E11" sqref="E11"/>
    </sheetView>
  </sheetViews>
  <sheetFormatPr defaultRowHeight="15" x14ac:dyDescent="0.25"/>
  <cols>
    <col min="1" max="1" width="24.7109375" customWidth="1"/>
    <col min="2" max="5" width="20.7109375" customWidth="1"/>
    <col min="6" max="6" width="14.7109375" customWidth="1"/>
    <col min="7" max="7" width="15.85546875" customWidth="1"/>
    <col min="9" max="9" width="9.140625" customWidth="1"/>
  </cols>
  <sheetData>
    <row r="1" spans="1:17" ht="21" x14ac:dyDescent="0.25">
      <c r="A1" s="45"/>
      <c r="B1" s="365" t="s">
        <v>58</v>
      </c>
      <c r="C1" s="365"/>
      <c r="D1" s="270"/>
      <c r="E1" s="270"/>
      <c r="F1" s="58"/>
      <c r="G1" s="46"/>
    </row>
    <row r="2" spans="1:17" x14ac:dyDescent="0.25">
      <c r="A2" s="59"/>
      <c r="B2" s="59"/>
      <c r="C2" s="48" t="s">
        <v>23</v>
      </c>
      <c r="D2" s="48"/>
      <c r="E2" s="48"/>
      <c r="F2" s="48">
        <f>SUM(F4:F5)</f>
        <v>0</v>
      </c>
      <c r="G2" s="59"/>
    </row>
    <row r="3" spans="1:17" x14ac:dyDescent="0.25">
      <c r="A3" s="49" t="s">
        <v>36</v>
      </c>
      <c r="B3" s="50" t="s">
        <v>59</v>
      </c>
      <c r="C3" s="50" t="s">
        <v>60</v>
      </c>
      <c r="D3" s="50"/>
      <c r="E3" s="50"/>
      <c r="F3" s="50" t="s">
        <v>56</v>
      </c>
      <c r="G3" s="51" t="s">
        <v>57</v>
      </c>
    </row>
    <row r="4" spans="1:17" ht="45" x14ac:dyDescent="0.25">
      <c r="A4" s="52" t="s">
        <v>153</v>
      </c>
      <c r="B4" s="53" t="s">
        <v>154</v>
      </c>
      <c r="C4" s="271">
        <v>44957</v>
      </c>
      <c r="D4" s="272" t="s">
        <v>155</v>
      </c>
      <c r="E4" s="55" t="s">
        <v>156</v>
      </c>
      <c r="F4" s="55"/>
      <c r="G4" s="54" t="s">
        <v>157</v>
      </c>
    </row>
    <row r="5" spans="1:17" x14ac:dyDescent="0.25">
      <c r="A5" s="56" t="s">
        <v>158</v>
      </c>
      <c r="B5" s="57" t="s">
        <v>159</v>
      </c>
      <c r="C5" s="271">
        <v>44957</v>
      </c>
      <c r="D5" s="54"/>
      <c r="E5" s="54"/>
      <c r="F5" s="55"/>
      <c r="G5" s="54" t="s">
        <v>157</v>
      </c>
    </row>
    <row r="6" spans="1:17" x14ac:dyDescent="0.25">
      <c r="K6" s="52"/>
      <c r="L6" s="53"/>
      <c r="M6" s="271"/>
      <c r="N6" s="272"/>
      <c r="O6" s="55"/>
      <c r="P6" s="55"/>
      <c r="Q6" s="54"/>
    </row>
    <row r="7" spans="1:17" x14ac:dyDescent="0.25">
      <c r="K7" s="56"/>
      <c r="L7" s="57"/>
      <c r="M7" s="271"/>
      <c r="N7" s="54"/>
      <c r="O7" s="54"/>
      <c r="P7" s="55"/>
      <c r="Q7" s="54"/>
    </row>
    <row r="9" spans="1:17" x14ac:dyDescent="0.25">
      <c r="F9" t="s">
        <v>160</v>
      </c>
    </row>
  </sheetData>
  <mergeCells count="1">
    <mergeCell ref="B1:C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5"/>
  <sheetViews>
    <sheetView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I5" sqref="I5"/>
    </sheetView>
  </sheetViews>
  <sheetFormatPr defaultRowHeight="15" x14ac:dyDescent="0.25"/>
  <cols>
    <col min="1" max="1" width="15" customWidth="1"/>
    <col min="2" max="2" width="16.7109375" customWidth="1"/>
    <col min="3" max="3" width="18" customWidth="1"/>
    <col min="4" max="4" width="16.7109375" customWidth="1"/>
    <col min="5" max="5" width="14.140625" customWidth="1"/>
    <col min="6" max="6" width="19.42578125" customWidth="1"/>
  </cols>
  <sheetData>
    <row r="1" spans="1:6" ht="21" x14ac:dyDescent="0.25">
      <c r="A1" s="375" t="s">
        <v>61</v>
      </c>
      <c r="B1" s="376"/>
      <c r="C1" s="376"/>
      <c r="D1" s="377"/>
      <c r="E1" s="377"/>
      <c r="F1" s="378"/>
    </row>
    <row r="2" spans="1:6" x14ac:dyDescent="0.25">
      <c r="A2" s="60"/>
      <c r="B2" s="60"/>
      <c r="C2" s="60"/>
      <c r="D2" s="61" t="s">
        <v>23</v>
      </c>
      <c r="E2" s="62">
        <f>SUM(E4:E25)</f>
        <v>0</v>
      </c>
      <c r="F2" s="60"/>
    </row>
    <row r="3" spans="1:6" x14ac:dyDescent="0.25">
      <c r="A3" s="63" t="s">
        <v>36</v>
      </c>
      <c r="B3" s="64" t="s">
        <v>55</v>
      </c>
      <c r="C3" s="64" t="s">
        <v>5</v>
      </c>
      <c r="D3" s="64" t="s">
        <v>62</v>
      </c>
      <c r="E3" s="64" t="s">
        <v>56</v>
      </c>
      <c r="F3" s="64" t="s">
        <v>57</v>
      </c>
    </row>
    <row r="4" spans="1:6" x14ac:dyDescent="0.25">
      <c r="A4" s="56"/>
      <c r="B4" s="54"/>
      <c r="C4" s="54"/>
      <c r="D4" s="54"/>
      <c r="E4" s="54"/>
      <c r="F4" s="54"/>
    </row>
    <row r="5" spans="1:6" x14ac:dyDescent="0.25">
      <c r="A5" s="56"/>
      <c r="B5" s="54"/>
      <c r="C5" s="54"/>
      <c r="D5" s="55"/>
      <c r="E5" s="55"/>
      <c r="F5" s="54"/>
    </row>
    <row r="6" spans="1:6" x14ac:dyDescent="0.25">
      <c r="A6" s="56"/>
      <c r="B6" s="54"/>
      <c r="C6" s="54"/>
      <c r="D6" s="54"/>
      <c r="E6" s="54"/>
      <c r="F6" s="54"/>
    </row>
    <row r="7" spans="1:6" x14ac:dyDescent="0.25">
      <c r="A7" s="56"/>
      <c r="B7" s="54"/>
      <c r="C7" s="54"/>
      <c r="D7" s="54"/>
      <c r="E7" s="54"/>
      <c r="F7" s="54"/>
    </row>
    <row r="8" spans="1:6" x14ac:dyDescent="0.25">
      <c r="A8" s="56"/>
      <c r="B8" s="54"/>
      <c r="C8" s="54"/>
      <c r="D8" s="54"/>
      <c r="E8" s="54"/>
      <c r="F8" s="54"/>
    </row>
    <row r="9" spans="1:6" x14ac:dyDescent="0.25">
      <c r="A9" s="56"/>
      <c r="B9" s="54"/>
      <c r="C9" s="54"/>
      <c r="D9" s="54"/>
      <c r="E9" s="54"/>
      <c r="F9" s="54"/>
    </row>
    <row r="10" spans="1:6" x14ac:dyDescent="0.25">
      <c r="A10" s="56"/>
      <c r="B10" s="54"/>
      <c r="C10" s="54"/>
      <c r="D10" s="54"/>
      <c r="E10" s="54"/>
      <c r="F10" s="54"/>
    </row>
    <row r="11" spans="1:6" x14ac:dyDescent="0.25">
      <c r="A11" s="56"/>
      <c r="B11" s="54"/>
      <c r="C11" s="54"/>
      <c r="D11" s="54"/>
      <c r="E11" s="54"/>
      <c r="F11" s="54"/>
    </row>
    <row r="12" spans="1:6" x14ac:dyDescent="0.25">
      <c r="A12" s="56"/>
      <c r="B12" s="54"/>
      <c r="C12" s="54"/>
      <c r="D12" s="54"/>
      <c r="E12" s="54"/>
      <c r="F12" s="54"/>
    </row>
    <row r="13" spans="1:6" x14ac:dyDescent="0.25">
      <c r="A13" s="56"/>
      <c r="B13" s="54"/>
      <c r="C13" s="54"/>
      <c r="D13" s="54"/>
      <c r="E13" s="54"/>
      <c r="F13" s="54"/>
    </row>
    <row r="14" spans="1:6" x14ac:dyDescent="0.25">
      <c r="A14" s="56"/>
      <c r="B14" s="54"/>
      <c r="C14" s="54"/>
      <c r="D14" s="54"/>
      <c r="E14" s="54"/>
      <c r="F14" s="54"/>
    </row>
    <row r="15" spans="1:6" x14ac:dyDescent="0.25">
      <c r="A15" s="56"/>
      <c r="B15" s="54"/>
      <c r="C15" s="54"/>
      <c r="D15" s="54"/>
      <c r="E15" s="54"/>
      <c r="F15" s="54"/>
    </row>
    <row r="16" spans="1:6" x14ac:dyDescent="0.25">
      <c r="A16" s="56"/>
      <c r="B16" s="54"/>
      <c r="C16" s="54"/>
      <c r="D16" s="54"/>
      <c r="E16" s="54"/>
      <c r="F16" s="54"/>
    </row>
    <row r="17" spans="1:6" x14ac:dyDescent="0.25">
      <c r="A17" s="56"/>
      <c r="B17" s="54"/>
      <c r="C17" s="54"/>
      <c r="D17" s="54"/>
      <c r="E17" s="54"/>
      <c r="F17" s="54"/>
    </row>
    <row r="18" spans="1:6" x14ac:dyDescent="0.25">
      <c r="A18" s="56"/>
      <c r="B18" s="54"/>
      <c r="C18" s="54"/>
      <c r="D18" s="54"/>
      <c r="E18" s="54"/>
      <c r="F18" s="54"/>
    </row>
    <row r="19" spans="1:6" x14ac:dyDescent="0.25">
      <c r="A19" s="56"/>
      <c r="B19" s="54"/>
      <c r="C19" s="54"/>
      <c r="D19" s="54"/>
      <c r="E19" s="54"/>
      <c r="F19" s="54"/>
    </row>
    <row r="20" spans="1:6" x14ac:dyDescent="0.25">
      <c r="A20" s="56"/>
      <c r="B20" s="54"/>
      <c r="C20" s="54"/>
      <c r="D20" s="54"/>
      <c r="E20" s="54"/>
      <c r="F20" s="54"/>
    </row>
    <row r="21" spans="1:6" x14ac:dyDescent="0.25">
      <c r="A21" s="56"/>
      <c r="B21" s="54"/>
      <c r="C21" s="54"/>
      <c r="D21" s="54"/>
      <c r="E21" s="54"/>
      <c r="F21" s="54"/>
    </row>
    <row r="22" spans="1:6" x14ac:dyDescent="0.25">
      <c r="A22" s="56"/>
      <c r="B22" s="54"/>
      <c r="C22" s="54"/>
      <c r="D22" s="54"/>
      <c r="E22" s="54"/>
      <c r="F22" s="54"/>
    </row>
    <row r="23" spans="1:6" x14ac:dyDescent="0.25">
      <c r="A23" s="56"/>
      <c r="B23" s="54"/>
      <c r="C23" s="54"/>
      <c r="D23" s="54"/>
      <c r="E23" s="54"/>
      <c r="F23" s="54"/>
    </row>
    <row r="24" spans="1:6" x14ac:dyDescent="0.25">
      <c r="A24" s="56"/>
      <c r="B24" s="54"/>
      <c r="C24" s="54"/>
      <c r="D24" s="54"/>
      <c r="E24" s="54"/>
      <c r="F24" s="54"/>
    </row>
    <row r="25" spans="1:6" x14ac:dyDescent="0.25">
      <c r="A25" s="56"/>
      <c r="B25" s="54"/>
      <c r="C25" s="54"/>
      <c r="D25" s="54"/>
      <c r="E25" s="54"/>
      <c r="F25" s="54"/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6"/>
  <sheetViews>
    <sheetView workbookViewId="0">
      <pane xSplit="6" ySplit="3" topLeftCell="G4" activePane="bottomRight" state="frozen"/>
      <selection activeCell="M5" sqref="M5"/>
      <selection pane="topRight" activeCell="M5" sqref="M5"/>
      <selection pane="bottomLeft" activeCell="M5" sqref="M5"/>
      <selection pane="bottomRight" activeCell="I13" sqref="I13"/>
    </sheetView>
  </sheetViews>
  <sheetFormatPr defaultRowHeight="15" x14ac:dyDescent="0.25"/>
  <cols>
    <col min="1" max="1" width="10.140625" bestFit="1" customWidth="1"/>
    <col min="2" max="2" width="24.140625" customWidth="1"/>
    <col min="3" max="3" width="15.7109375" customWidth="1"/>
    <col min="4" max="4" width="11.28515625" style="47" customWidth="1"/>
    <col min="5" max="5" width="11.5703125" style="47" customWidth="1"/>
    <col min="6" max="6" width="16.28515625" customWidth="1"/>
  </cols>
  <sheetData>
    <row r="1" spans="1:6" ht="21" x14ac:dyDescent="0.25">
      <c r="A1" s="65"/>
      <c r="B1" s="379" t="s">
        <v>63</v>
      </c>
      <c r="C1" s="380"/>
      <c r="D1" s="380"/>
      <c r="E1" s="380"/>
      <c r="F1" s="67"/>
    </row>
    <row r="2" spans="1:6" ht="21" x14ac:dyDescent="0.25">
      <c r="A2" s="65"/>
      <c r="B2" s="66"/>
      <c r="C2" s="65"/>
      <c r="D2" s="68" t="s">
        <v>23</v>
      </c>
      <c r="E2" s="69">
        <f>SUM(E4:E23)</f>
        <v>0</v>
      </c>
      <c r="F2" s="67"/>
    </row>
    <row r="3" spans="1:6" x14ac:dyDescent="0.25">
      <c r="A3" s="70" t="s">
        <v>36</v>
      </c>
      <c r="B3" s="71" t="s">
        <v>55</v>
      </c>
      <c r="C3" s="71" t="s">
        <v>5</v>
      </c>
      <c r="D3" s="71" t="s">
        <v>62</v>
      </c>
      <c r="E3" s="71" t="s">
        <v>56</v>
      </c>
      <c r="F3" s="71" t="s">
        <v>57</v>
      </c>
    </row>
    <row r="4" spans="1:6" x14ac:dyDescent="0.25">
      <c r="A4" s="201"/>
      <c r="B4" s="202"/>
      <c r="C4" s="203"/>
      <c r="D4" s="204"/>
      <c r="E4" s="76"/>
      <c r="F4" s="73"/>
    </row>
    <row r="5" spans="1:6" x14ac:dyDescent="0.25">
      <c r="A5" s="201"/>
      <c r="B5" s="202"/>
      <c r="C5" s="206"/>
      <c r="D5" s="207"/>
      <c r="E5" s="76"/>
      <c r="F5" s="73"/>
    </row>
    <row r="6" spans="1:6" x14ac:dyDescent="0.25">
      <c r="A6" s="201"/>
      <c r="F6" s="74"/>
    </row>
    <row r="7" spans="1:6" x14ac:dyDescent="0.25">
      <c r="A7" s="201"/>
      <c r="B7" s="73"/>
      <c r="C7" s="73"/>
      <c r="D7" s="76"/>
      <c r="E7" s="76"/>
      <c r="F7" s="73"/>
    </row>
    <row r="8" spans="1:6" x14ac:dyDescent="0.25">
      <c r="A8" s="102"/>
      <c r="B8" s="102"/>
      <c r="C8" s="102"/>
      <c r="D8" s="208"/>
      <c r="E8" s="208"/>
      <c r="F8" s="102"/>
    </row>
    <row r="9" spans="1:6" x14ac:dyDescent="0.25">
      <c r="A9" s="102"/>
      <c r="B9" s="102"/>
      <c r="C9" s="102"/>
      <c r="D9" s="208"/>
      <c r="E9" s="208"/>
      <c r="F9" s="102"/>
    </row>
    <row r="10" spans="1:6" x14ac:dyDescent="0.25">
      <c r="A10" s="72"/>
      <c r="B10" s="73"/>
      <c r="C10" s="73"/>
      <c r="D10" s="76"/>
      <c r="E10" s="76"/>
      <c r="F10" s="102"/>
    </row>
    <row r="11" spans="1:6" ht="15.75" x14ac:dyDescent="0.25">
      <c r="A11" s="72"/>
      <c r="B11" s="73"/>
      <c r="C11" s="73"/>
      <c r="D11" s="76"/>
      <c r="E11" s="199"/>
      <c r="F11" s="73"/>
    </row>
    <row r="12" spans="1:6" x14ac:dyDescent="0.25">
      <c r="A12" s="72"/>
      <c r="B12" s="73"/>
      <c r="C12" s="73"/>
      <c r="D12" s="76"/>
      <c r="E12" s="76"/>
      <c r="F12" s="73"/>
    </row>
    <row r="13" spans="1:6" x14ac:dyDescent="0.25">
      <c r="A13" s="72"/>
      <c r="B13" s="73"/>
      <c r="C13" s="73"/>
      <c r="D13" s="76"/>
      <c r="E13" s="76"/>
      <c r="F13" s="73"/>
    </row>
    <row r="14" spans="1:6" x14ac:dyDescent="0.25">
      <c r="A14" s="72"/>
      <c r="B14" s="73"/>
      <c r="C14" s="73"/>
      <c r="D14" s="76"/>
      <c r="E14" s="76"/>
      <c r="F14" s="73"/>
    </row>
    <row r="15" spans="1:6" x14ac:dyDescent="0.25">
      <c r="A15" s="72"/>
      <c r="B15" s="73"/>
      <c r="C15" s="73"/>
      <c r="D15" s="76"/>
      <c r="E15" s="76"/>
      <c r="F15" s="73"/>
    </row>
    <row r="16" spans="1:6" x14ac:dyDescent="0.25">
      <c r="A16" s="72"/>
      <c r="B16" s="73"/>
      <c r="C16" s="73"/>
      <c r="D16" s="76"/>
      <c r="E16" s="76"/>
      <c r="F16" s="73"/>
    </row>
    <row r="17" spans="1:6" x14ac:dyDescent="0.25">
      <c r="A17" s="72"/>
      <c r="B17" s="73"/>
      <c r="C17" s="73"/>
      <c r="D17" s="76"/>
      <c r="E17" s="76"/>
      <c r="F17" s="73"/>
    </row>
    <row r="18" spans="1:6" x14ac:dyDescent="0.25">
      <c r="A18" s="72"/>
      <c r="B18" s="73"/>
      <c r="C18" s="73"/>
      <c r="D18" s="76"/>
      <c r="E18" s="76"/>
      <c r="F18" s="73"/>
    </row>
    <row r="19" spans="1:6" x14ac:dyDescent="0.25">
      <c r="A19" s="72"/>
      <c r="B19" s="73"/>
      <c r="C19" s="73"/>
      <c r="D19" s="76"/>
      <c r="E19" s="76"/>
      <c r="F19" s="73"/>
    </row>
    <row r="20" spans="1:6" x14ac:dyDescent="0.25">
      <c r="A20" s="72"/>
      <c r="B20" s="73"/>
      <c r="C20" s="73"/>
      <c r="D20" s="76"/>
      <c r="E20" s="76"/>
      <c r="F20" s="73"/>
    </row>
    <row r="21" spans="1:6" x14ac:dyDescent="0.25">
      <c r="A21" s="72"/>
      <c r="B21" s="73"/>
      <c r="C21" s="73"/>
      <c r="D21" s="76"/>
      <c r="E21" s="76"/>
      <c r="F21" s="73"/>
    </row>
    <row r="22" spans="1:6" x14ac:dyDescent="0.25">
      <c r="A22" s="72"/>
      <c r="B22" s="73"/>
      <c r="C22" s="73"/>
      <c r="D22" s="76"/>
      <c r="E22" s="76"/>
      <c r="F22" s="73"/>
    </row>
    <row r="23" spans="1:6" x14ac:dyDescent="0.25">
      <c r="A23" s="72"/>
      <c r="B23" s="73"/>
      <c r="C23" s="73"/>
      <c r="D23" s="76"/>
      <c r="E23" s="76"/>
      <c r="F23" s="73"/>
    </row>
    <row r="24" spans="1:6" x14ac:dyDescent="0.25">
      <c r="F24" s="73"/>
    </row>
    <row r="25" spans="1:6" x14ac:dyDescent="0.25">
      <c r="F25" s="73"/>
    </row>
    <row r="26" spans="1:6" x14ac:dyDescent="0.25">
      <c r="F26" s="73"/>
    </row>
  </sheetData>
  <mergeCells count="1">
    <mergeCell ref="B1:E1"/>
  </mergeCells>
  <dataValidations count="1">
    <dataValidation type="whole" allowBlank="1" showInputMessage="1" showErrorMessage="1" sqref="E10:E13 E7 E4:E5" xr:uid="{00000000-0002-0000-0B00-000000000000}">
      <formula1>0</formula1>
      <formula2>100000</formula2>
    </dataValidation>
  </dataValidation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25"/>
  <sheetViews>
    <sheetView workbookViewId="0">
      <selection activeCell="F12" sqref="F12"/>
    </sheetView>
  </sheetViews>
  <sheetFormatPr defaultRowHeight="15" x14ac:dyDescent="0.25"/>
  <cols>
    <col min="2" max="2" width="24.28515625" customWidth="1"/>
    <col min="3" max="3" width="11.28515625" customWidth="1"/>
    <col min="4" max="4" width="13.7109375" customWidth="1"/>
    <col min="5" max="5" width="13.42578125" customWidth="1"/>
  </cols>
  <sheetData>
    <row r="1" spans="1:5" ht="15.75" x14ac:dyDescent="0.25">
      <c r="A1" s="381" t="s">
        <v>64</v>
      </c>
      <c r="B1" s="381"/>
      <c r="C1" s="381"/>
      <c r="D1" s="381"/>
      <c r="E1" s="381"/>
    </row>
    <row r="2" spans="1:5" x14ac:dyDescent="0.25">
      <c r="A2" s="77"/>
      <c r="B2" s="77"/>
      <c r="C2" s="78" t="s">
        <v>23</v>
      </c>
      <c r="D2" s="78">
        <f>SUM(D4:D9)</f>
        <v>0</v>
      </c>
      <c r="E2" s="77"/>
    </row>
    <row r="3" spans="1:5" x14ac:dyDescent="0.25">
      <c r="A3" s="79" t="s">
        <v>36</v>
      </c>
      <c r="B3" s="80" t="s">
        <v>65</v>
      </c>
      <c r="C3" s="79" t="s">
        <v>62</v>
      </c>
      <c r="D3" s="79" t="s">
        <v>56</v>
      </c>
      <c r="E3" s="81" t="s">
        <v>57</v>
      </c>
    </row>
    <row r="4" spans="1:5" x14ac:dyDescent="0.25">
      <c r="A4" s="55"/>
      <c r="B4" s="55"/>
      <c r="C4" s="55"/>
      <c r="D4" s="55"/>
      <c r="E4" s="55"/>
    </row>
    <row r="5" spans="1:5" x14ac:dyDescent="0.25">
      <c r="A5" s="55"/>
      <c r="B5" s="55"/>
      <c r="C5" s="55"/>
      <c r="D5" s="55"/>
      <c r="E5" s="55"/>
    </row>
    <row r="6" spans="1:5" x14ac:dyDescent="0.25">
      <c r="A6" s="55"/>
      <c r="B6" s="55"/>
      <c r="C6" s="55"/>
      <c r="D6" s="55"/>
      <c r="E6" s="55"/>
    </row>
    <row r="7" spans="1:5" x14ac:dyDescent="0.25">
      <c r="A7" s="55"/>
      <c r="B7" s="55"/>
      <c r="C7" s="55"/>
      <c r="D7" s="55"/>
      <c r="E7" s="55"/>
    </row>
    <row r="8" spans="1:5" x14ac:dyDescent="0.25">
      <c r="A8" s="55"/>
      <c r="B8" s="55"/>
      <c r="C8" s="55"/>
      <c r="D8" s="55"/>
      <c r="E8" s="55"/>
    </row>
    <row r="9" spans="1:5" x14ac:dyDescent="0.25">
      <c r="A9" s="55"/>
      <c r="B9" s="55"/>
      <c r="C9" s="55"/>
      <c r="D9" s="55"/>
      <c r="E9" s="55"/>
    </row>
    <row r="10" spans="1:5" x14ac:dyDescent="0.25">
      <c r="A10" s="77"/>
      <c r="B10" s="77"/>
      <c r="C10" s="77"/>
      <c r="D10" s="77"/>
      <c r="E10" s="77"/>
    </row>
    <row r="11" spans="1:5" x14ac:dyDescent="0.25">
      <c r="A11" s="77"/>
      <c r="B11" s="77"/>
      <c r="C11" s="77"/>
      <c r="D11" s="77"/>
      <c r="E11" s="77"/>
    </row>
    <row r="12" spans="1:5" ht="15.75" x14ac:dyDescent="0.25">
      <c r="A12" s="381" t="s">
        <v>17</v>
      </c>
      <c r="B12" s="381"/>
      <c r="C12" s="381"/>
      <c r="D12" s="381"/>
      <c r="E12" s="381"/>
    </row>
    <row r="13" spans="1:5" x14ac:dyDescent="0.25">
      <c r="A13" s="77"/>
      <c r="B13" s="77"/>
      <c r="C13" s="78" t="s">
        <v>23</v>
      </c>
      <c r="D13" s="78">
        <f>SUM(D15:D25)</f>
        <v>0</v>
      </c>
      <c r="E13" s="77"/>
    </row>
    <row r="14" spans="1:5" x14ac:dyDescent="0.25">
      <c r="A14" s="79" t="s">
        <v>36</v>
      </c>
      <c r="B14" s="80" t="s">
        <v>65</v>
      </c>
      <c r="C14" s="79" t="s">
        <v>62</v>
      </c>
      <c r="D14" s="79" t="s">
        <v>56</v>
      </c>
      <c r="E14" s="81" t="s">
        <v>57</v>
      </c>
    </row>
    <row r="15" spans="1:5" x14ac:dyDescent="0.25">
      <c r="A15" s="55"/>
      <c r="B15" s="55"/>
      <c r="C15" s="55"/>
      <c r="D15" s="55"/>
      <c r="E15" s="55"/>
    </row>
    <row r="16" spans="1:5" x14ac:dyDescent="0.25">
      <c r="A16" s="55"/>
      <c r="B16" s="55"/>
      <c r="C16" s="55"/>
      <c r="D16" s="55"/>
      <c r="E16" s="55"/>
    </row>
    <row r="17" spans="1:5" x14ac:dyDescent="0.25">
      <c r="A17" s="55"/>
      <c r="B17" s="55"/>
      <c r="C17" s="55"/>
      <c r="D17" s="55"/>
      <c r="E17" s="55"/>
    </row>
    <row r="18" spans="1:5" x14ac:dyDescent="0.25">
      <c r="A18" s="55"/>
      <c r="B18" s="55"/>
      <c r="C18" s="55"/>
      <c r="D18" s="55"/>
      <c r="E18" s="55"/>
    </row>
    <row r="19" spans="1:5" x14ac:dyDescent="0.25">
      <c r="A19" s="55"/>
      <c r="B19" s="55"/>
      <c r="C19" s="55"/>
      <c r="D19" s="55"/>
      <c r="E19" s="55"/>
    </row>
    <row r="20" spans="1:5" x14ac:dyDescent="0.25">
      <c r="A20" s="55"/>
      <c r="B20" s="55"/>
      <c r="C20" s="55"/>
      <c r="D20" s="55"/>
      <c r="E20" s="55"/>
    </row>
    <row r="21" spans="1:5" x14ac:dyDescent="0.25">
      <c r="A21" s="55"/>
      <c r="B21" s="55"/>
      <c r="C21" s="55"/>
      <c r="D21" s="55"/>
      <c r="E21" s="55"/>
    </row>
    <row r="22" spans="1:5" x14ac:dyDescent="0.25">
      <c r="A22" s="54"/>
      <c r="B22" s="54"/>
      <c r="C22" s="54"/>
      <c r="D22" s="54"/>
      <c r="E22" s="54"/>
    </row>
    <row r="23" spans="1:5" x14ac:dyDescent="0.25">
      <c r="A23" s="54"/>
      <c r="B23" s="54"/>
      <c r="C23" s="54"/>
      <c r="D23" s="54"/>
      <c r="E23" s="54"/>
    </row>
    <row r="24" spans="1:5" x14ac:dyDescent="0.25">
      <c r="A24" s="54"/>
      <c r="B24" s="54"/>
      <c r="C24" s="54"/>
      <c r="D24" s="54"/>
      <c r="E24" s="54"/>
    </row>
    <row r="25" spans="1:5" x14ac:dyDescent="0.25">
      <c r="A25" s="54"/>
      <c r="B25" s="54"/>
      <c r="C25" s="54"/>
      <c r="D25" s="54"/>
      <c r="E25" s="54"/>
    </row>
  </sheetData>
  <mergeCells count="2">
    <mergeCell ref="A1:E1"/>
    <mergeCell ref="A12:E12"/>
  </mergeCells>
  <dataValidations count="1">
    <dataValidation type="whole" allowBlank="1" showInputMessage="1" showErrorMessage="1" sqref="D4:D9 D15:D25" xr:uid="{00000000-0002-0000-0C00-000000000000}">
      <formula1>0</formula1>
      <formula2>100000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16"/>
  <sheetViews>
    <sheetView workbookViewId="0">
      <selection activeCell="G11" sqref="G11"/>
    </sheetView>
  </sheetViews>
  <sheetFormatPr defaultRowHeight="15" x14ac:dyDescent="0.25"/>
  <cols>
    <col min="1" max="1" width="10.140625" bestFit="1" customWidth="1"/>
    <col min="2" max="2" width="17" customWidth="1"/>
    <col min="3" max="3" width="17.7109375" customWidth="1"/>
    <col min="4" max="4" width="13.85546875" customWidth="1"/>
    <col min="5" max="5" width="14.5703125" customWidth="1"/>
  </cols>
  <sheetData>
    <row r="1" spans="1:5" ht="21" x14ac:dyDescent="0.25">
      <c r="A1" s="382" t="s">
        <v>66</v>
      </c>
      <c r="B1" s="382"/>
      <c r="C1" s="383"/>
      <c r="D1" s="383"/>
      <c r="E1" s="382"/>
    </row>
    <row r="2" spans="1:5" ht="21" x14ac:dyDescent="0.35">
      <c r="A2" s="82"/>
      <c r="B2" s="82"/>
      <c r="C2" s="83" t="s">
        <v>23</v>
      </c>
      <c r="D2" s="83">
        <f>SUM(D4:D16)</f>
        <v>0</v>
      </c>
      <c r="E2" s="82"/>
    </row>
    <row r="3" spans="1:5" x14ac:dyDescent="0.25">
      <c r="A3" s="84" t="s">
        <v>36</v>
      </c>
      <c r="B3" s="85" t="s">
        <v>55</v>
      </c>
      <c r="C3" s="85" t="s">
        <v>5</v>
      </c>
      <c r="D3" s="85" t="s">
        <v>56</v>
      </c>
      <c r="E3" s="85" t="s">
        <v>57</v>
      </c>
    </row>
    <row r="4" spans="1:5" x14ac:dyDescent="0.25">
      <c r="A4" s="72"/>
      <c r="B4" s="75"/>
      <c r="C4" s="76"/>
      <c r="D4" s="76"/>
      <c r="E4" s="73"/>
    </row>
    <row r="5" spans="1:5" x14ac:dyDescent="0.25">
      <c r="A5" s="72"/>
      <c r="B5" s="75"/>
      <c r="C5" s="76"/>
      <c r="D5" s="86"/>
      <c r="E5" s="87"/>
    </row>
    <row r="6" spans="1:5" x14ac:dyDescent="0.25">
      <c r="A6" s="72"/>
      <c r="B6" s="75"/>
      <c r="C6" s="76"/>
      <c r="D6" s="76"/>
      <c r="E6" s="73"/>
    </row>
    <row r="7" spans="1:5" x14ac:dyDescent="0.25">
      <c r="A7" s="72"/>
      <c r="B7" s="73"/>
      <c r="C7" s="73"/>
      <c r="D7" s="76"/>
      <c r="E7" s="73"/>
    </row>
    <row r="8" spans="1:5" x14ac:dyDescent="0.25">
      <c r="A8" s="72"/>
      <c r="B8" s="73"/>
      <c r="C8" s="73"/>
      <c r="D8" s="76"/>
      <c r="E8" s="73"/>
    </row>
    <row r="9" spans="1:5" x14ac:dyDescent="0.25">
      <c r="A9" s="72"/>
      <c r="B9" s="73"/>
      <c r="C9" s="73"/>
      <c r="D9" s="76"/>
      <c r="E9" s="73"/>
    </row>
    <row r="10" spans="1:5" x14ac:dyDescent="0.25">
      <c r="A10" s="72"/>
      <c r="B10" s="73"/>
      <c r="C10" s="73"/>
      <c r="D10" s="76"/>
      <c r="E10" s="73"/>
    </row>
    <row r="11" spans="1:5" x14ac:dyDescent="0.25">
      <c r="A11" s="72"/>
      <c r="B11" s="73"/>
      <c r="C11" s="73"/>
      <c r="D11" s="73"/>
      <c r="E11" s="73"/>
    </row>
    <row r="12" spans="1:5" x14ac:dyDescent="0.25">
      <c r="A12" s="72"/>
      <c r="B12" s="73"/>
      <c r="C12" s="73"/>
      <c r="D12" s="73"/>
      <c r="E12" s="73"/>
    </row>
    <row r="13" spans="1:5" x14ac:dyDescent="0.25">
      <c r="A13" s="72"/>
      <c r="B13" s="73"/>
      <c r="C13" s="73"/>
      <c r="D13" s="73"/>
      <c r="E13" s="73"/>
    </row>
    <row r="14" spans="1:5" x14ac:dyDescent="0.25">
      <c r="A14" s="72"/>
      <c r="B14" s="73"/>
      <c r="C14" s="73"/>
      <c r="D14" s="73"/>
      <c r="E14" s="73"/>
    </row>
    <row r="15" spans="1:5" x14ac:dyDescent="0.25">
      <c r="A15" s="72"/>
      <c r="B15" s="73"/>
      <c r="C15" s="73"/>
      <c r="D15" s="73"/>
      <c r="E15" s="73"/>
    </row>
    <row r="16" spans="1:5" x14ac:dyDescent="0.25">
      <c r="A16" s="72"/>
      <c r="B16" s="73"/>
      <c r="C16" s="73"/>
      <c r="D16" s="73"/>
      <c r="E16" s="73"/>
    </row>
  </sheetData>
  <mergeCells count="1">
    <mergeCell ref="A1:E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30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I11" sqref="I11"/>
    </sheetView>
  </sheetViews>
  <sheetFormatPr defaultRowHeight="15" x14ac:dyDescent="0.25"/>
  <cols>
    <col min="1" max="1" width="15.5703125" bestFit="1" customWidth="1"/>
    <col min="2" max="2" width="17.28515625" bestFit="1" customWidth="1"/>
    <col min="3" max="3" width="12.5703125" customWidth="1"/>
    <col min="4" max="4" width="13.28515625" customWidth="1"/>
    <col min="5" max="5" width="17.28515625" customWidth="1"/>
  </cols>
  <sheetData>
    <row r="1" spans="1:5" ht="18.75" x14ac:dyDescent="0.25">
      <c r="A1" s="384" t="s">
        <v>19</v>
      </c>
      <c r="B1" s="384"/>
      <c r="C1" s="384"/>
      <c r="D1" s="384"/>
      <c r="E1" s="384"/>
    </row>
    <row r="2" spans="1:5" x14ac:dyDescent="0.25">
      <c r="A2" s="88"/>
      <c r="B2" s="65"/>
      <c r="C2" s="89" t="s">
        <v>23</v>
      </c>
      <c r="D2" s="89">
        <f>SUM(D4:D30)</f>
        <v>0</v>
      </c>
      <c r="E2" s="65"/>
    </row>
    <row r="3" spans="1:5" x14ac:dyDescent="0.25">
      <c r="A3" s="84" t="s">
        <v>67</v>
      </c>
      <c r="B3" s="85" t="s">
        <v>68</v>
      </c>
      <c r="C3" s="85" t="s">
        <v>69</v>
      </c>
      <c r="D3" s="85" t="s">
        <v>56</v>
      </c>
      <c r="E3" s="85" t="s">
        <v>57</v>
      </c>
    </row>
    <row r="4" spans="1:5" x14ac:dyDescent="0.25">
      <c r="A4" s="72"/>
      <c r="B4" s="73"/>
      <c r="C4" s="73"/>
      <c r="D4" s="73"/>
      <c r="E4" s="73"/>
    </row>
    <row r="5" spans="1:5" x14ac:dyDescent="0.25">
      <c r="A5" s="72"/>
      <c r="B5" s="73"/>
      <c r="C5" s="73"/>
      <c r="D5" s="73"/>
      <c r="E5" s="73"/>
    </row>
    <row r="6" spans="1:5" x14ac:dyDescent="0.25">
      <c r="A6" s="72"/>
      <c r="B6" s="73"/>
      <c r="C6" s="73"/>
      <c r="D6" s="73"/>
      <c r="E6" s="73"/>
    </row>
    <row r="7" spans="1:5" x14ac:dyDescent="0.25">
      <c r="A7" s="72"/>
      <c r="B7" s="73"/>
      <c r="C7" s="73"/>
      <c r="D7" s="73"/>
      <c r="E7" s="73"/>
    </row>
    <row r="8" spans="1:5" x14ac:dyDescent="0.25">
      <c r="A8" s="72"/>
      <c r="B8" s="73"/>
      <c r="C8" s="73"/>
      <c r="D8" s="73"/>
      <c r="E8" s="73"/>
    </row>
    <row r="9" spans="1:5" x14ac:dyDescent="0.25">
      <c r="A9" s="72"/>
      <c r="B9" s="73"/>
      <c r="C9" s="73"/>
      <c r="D9" s="73"/>
      <c r="E9" s="73"/>
    </row>
    <row r="10" spans="1:5" x14ac:dyDescent="0.25">
      <c r="A10" s="72"/>
      <c r="B10" s="73"/>
      <c r="C10" s="73"/>
      <c r="D10" s="73"/>
      <c r="E10" s="73"/>
    </row>
    <row r="11" spans="1:5" x14ac:dyDescent="0.25">
      <c r="A11" s="72"/>
      <c r="B11" s="73"/>
      <c r="C11" s="73"/>
      <c r="D11" s="73"/>
      <c r="E11" s="73"/>
    </row>
    <row r="12" spans="1:5" x14ac:dyDescent="0.25">
      <c r="A12" s="72"/>
      <c r="B12" s="73"/>
      <c r="C12" s="73"/>
      <c r="D12" s="73"/>
      <c r="E12" s="73"/>
    </row>
    <row r="13" spans="1:5" x14ac:dyDescent="0.25">
      <c r="A13" s="72"/>
      <c r="B13" s="73"/>
      <c r="C13" s="73"/>
      <c r="D13" s="73"/>
      <c r="E13" s="73"/>
    </row>
    <row r="14" spans="1:5" x14ac:dyDescent="0.25">
      <c r="A14" s="72"/>
      <c r="B14" s="73"/>
      <c r="C14" s="73"/>
      <c r="D14" s="73"/>
      <c r="E14" s="73"/>
    </row>
    <row r="15" spans="1:5" x14ac:dyDescent="0.25">
      <c r="A15" s="72"/>
      <c r="B15" s="73"/>
      <c r="C15" s="73"/>
      <c r="D15" s="73"/>
      <c r="E15" s="73"/>
    </row>
    <row r="16" spans="1:5" x14ac:dyDescent="0.25">
      <c r="A16" s="72"/>
      <c r="B16" s="73"/>
      <c r="C16" s="73"/>
      <c r="D16" s="73"/>
      <c r="E16" s="73"/>
    </row>
    <row r="17" spans="1:5" x14ac:dyDescent="0.25">
      <c r="A17" s="72"/>
      <c r="B17" s="73"/>
      <c r="C17" s="73"/>
      <c r="D17" s="73"/>
      <c r="E17" s="73"/>
    </row>
    <row r="18" spans="1:5" x14ac:dyDescent="0.25">
      <c r="A18" s="72"/>
      <c r="B18" s="73"/>
      <c r="C18" s="73"/>
      <c r="D18" s="73"/>
      <c r="E18" s="73"/>
    </row>
    <row r="19" spans="1:5" x14ac:dyDescent="0.25">
      <c r="A19" s="72"/>
      <c r="B19" s="73"/>
      <c r="C19" s="73"/>
      <c r="D19" s="73"/>
      <c r="E19" s="73"/>
    </row>
    <row r="20" spans="1:5" x14ac:dyDescent="0.25">
      <c r="A20" s="72"/>
      <c r="B20" s="73"/>
      <c r="C20" s="73"/>
      <c r="D20" s="73"/>
      <c r="E20" s="73"/>
    </row>
    <row r="21" spans="1:5" x14ac:dyDescent="0.25">
      <c r="A21" s="72"/>
      <c r="B21" s="73"/>
      <c r="C21" s="73"/>
      <c r="D21" s="73"/>
      <c r="E21" s="73"/>
    </row>
    <row r="22" spans="1:5" x14ac:dyDescent="0.25">
      <c r="A22" s="72"/>
      <c r="B22" s="73"/>
      <c r="C22" s="73"/>
      <c r="D22" s="73"/>
      <c r="E22" s="73"/>
    </row>
    <row r="23" spans="1:5" x14ac:dyDescent="0.25">
      <c r="A23" s="72"/>
      <c r="B23" s="73"/>
      <c r="C23" s="73"/>
      <c r="D23" s="73"/>
      <c r="E23" s="73"/>
    </row>
    <row r="24" spans="1:5" x14ac:dyDescent="0.25">
      <c r="A24" s="72"/>
      <c r="B24" s="73"/>
      <c r="C24" s="73"/>
      <c r="D24" s="73"/>
      <c r="E24" s="73"/>
    </row>
    <row r="25" spans="1:5" x14ac:dyDescent="0.25">
      <c r="A25" s="72"/>
      <c r="B25" s="73"/>
      <c r="C25" s="73"/>
      <c r="D25" s="73"/>
      <c r="E25" s="73"/>
    </row>
    <row r="26" spans="1:5" x14ac:dyDescent="0.25">
      <c r="A26" s="72"/>
      <c r="B26" s="73"/>
      <c r="C26" s="73"/>
      <c r="D26" s="73"/>
      <c r="E26" s="73"/>
    </row>
    <row r="27" spans="1:5" x14ac:dyDescent="0.25">
      <c r="A27" s="72"/>
      <c r="B27" s="73"/>
      <c r="C27" s="73"/>
      <c r="D27" s="73"/>
      <c r="E27" s="73"/>
    </row>
    <row r="28" spans="1:5" x14ac:dyDescent="0.25">
      <c r="A28" s="72"/>
      <c r="B28" s="73"/>
      <c r="C28" s="73"/>
      <c r="D28" s="73"/>
      <c r="E28" s="73"/>
    </row>
    <row r="29" spans="1:5" x14ac:dyDescent="0.25">
      <c r="A29" s="72"/>
      <c r="B29" s="73"/>
      <c r="C29" s="73"/>
      <c r="D29" s="73"/>
      <c r="E29" s="73"/>
    </row>
    <row r="30" spans="1:5" x14ac:dyDescent="0.25">
      <c r="A30" s="72"/>
      <c r="B30" s="73"/>
      <c r="C30" s="73"/>
      <c r="D30" s="73"/>
      <c r="E30" s="73"/>
    </row>
  </sheetData>
  <mergeCells count="1">
    <mergeCell ref="A1:E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37"/>
  <sheetViews>
    <sheetView workbookViewId="0">
      <pane xSplit="5" ySplit="3" topLeftCell="F4" activePane="bottomRight" state="frozen"/>
      <selection activeCell="M5" sqref="M5"/>
      <selection pane="topRight" activeCell="M5" sqref="M5"/>
      <selection pane="bottomLeft" activeCell="M5" sqref="M5"/>
      <selection pane="bottomRight" sqref="A1:E5"/>
    </sheetView>
  </sheetViews>
  <sheetFormatPr defaultRowHeight="15" x14ac:dyDescent="0.25"/>
  <cols>
    <col min="1" max="1" width="13.85546875" style="47" customWidth="1"/>
    <col min="2" max="2" width="20.85546875" bestFit="1" customWidth="1"/>
    <col min="3" max="3" width="16.140625" style="114" customWidth="1"/>
    <col min="4" max="4" width="14.5703125" customWidth="1"/>
    <col min="5" max="5" width="22.85546875" customWidth="1"/>
  </cols>
  <sheetData>
    <row r="1" spans="1:5" ht="18.75" x14ac:dyDescent="0.25">
      <c r="A1" s="385" t="s">
        <v>20</v>
      </c>
      <c r="B1" s="385"/>
      <c r="C1" s="385"/>
      <c r="D1" s="385"/>
      <c r="E1" s="385"/>
    </row>
    <row r="2" spans="1:5" x14ac:dyDescent="0.25">
      <c r="A2" s="195"/>
      <c r="B2" s="97"/>
      <c r="C2" s="192" t="s">
        <v>23</v>
      </c>
      <c r="D2" s="91">
        <f>SUM(D4:D37)</f>
        <v>300</v>
      </c>
      <c r="E2" s="64"/>
    </row>
    <row r="3" spans="1:5" x14ac:dyDescent="0.25">
      <c r="A3" s="92" t="s">
        <v>67</v>
      </c>
      <c r="B3" s="93" t="s">
        <v>68</v>
      </c>
      <c r="C3" s="193" t="s">
        <v>5</v>
      </c>
      <c r="D3" s="93" t="s">
        <v>56</v>
      </c>
      <c r="E3" s="93" t="s">
        <v>57</v>
      </c>
    </row>
    <row r="4" spans="1:5" s="244" customFormat="1" x14ac:dyDescent="0.25">
      <c r="A4" s="250">
        <v>45937</v>
      </c>
      <c r="B4" s="251" t="s">
        <v>188</v>
      </c>
      <c r="C4" s="310" t="s">
        <v>134</v>
      </c>
      <c r="D4" s="251">
        <v>50</v>
      </c>
      <c r="E4" s="251" t="s">
        <v>222</v>
      </c>
    </row>
    <row r="5" spans="1:5" ht="30" x14ac:dyDescent="0.25">
      <c r="A5" s="72">
        <v>45939</v>
      </c>
      <c r="B5" s="255" t="s">
        <v>213</v>
      </c>
      <c r="C5" s="194" t="s">
        <v>214</v>
      </c>
      <c r="D5" s="76">
        <v>250</v>
      </c>
      <c r="E5" s="95"/>
    </row>
    <row r="6" spans="1:5" x14ac:dyDescent="0.25">
      <c r="A6" s="72"/>
      <c r="B6" s="255"/>
      <c r="C6" s="194"/>
      <c r="D6" s="76"/>
      <c r="E6" s="95"/>
    </row>
    <row r="7" spans="1:5" x14ac:dyDescent="0.25">
      <c r="A7" s="72"/>
      <c r="B7" s="94"/>
      <c r="C7" s="194"/>
      <c r="D7" s="76"/>
      <c r="E7" s="95"/>
    </row>
    <row r="8" spans="1:5" x14ac:dyDescent="0.25">
      <c r="A8" s="72"/>
      <c r="B8" s="94"/>
      <c r="C8" s="194"/>
      <c r="D8" s="76"/>
      <c r="E8" s="95"/>
    </row>
    <row r="9" spans="1:5" x14ac:dyDescent="0.25">
      <c r="A9" s="195"/>
      <c r="B9" s="96"/>
      <c r="C9" s="12"/>
      <c r="D9" s="55"/>
      <c r="E9" s="97"/>
    </row>
    <row r="10" spans="1:5" x14ac:dyDescent="0.25">
      <c r="A10" s="195"/>
      <c r="B10" s="97"/>
      <c r="C10" s="12"/>
      <c r="D10" s="97"/>
      <c r="E10" s="97"/>
    </row>
    <row r="11" spans="1:5" x14ac:dyDescent="0.25">
      <c r="A11" s="195"/>
      <c r="B11" s="97"/>
      <c r="C11" s="12"/>
      <c r="D11" s="97"/>
      <c r="E11" s="97"/>
    </row>
    <row r="12" spans="1:5" x14ac:dyDescent="0.25">
      <c r="A12" s="195"/>
      <c r="B12" s="97"/>
      <c r="C12" s="12"/>
      <c r="D12" s="97"/>
      <c r="E12" s="97"/>
    </row>
    <row r="13" spans="1:5" x14ac:dyDescent="0.25">
      <c r="A13" s="195"/>
      <c r="B13" s="97" t="s">
        <v>127</v>
      </c>
      <c r="C13" s="12"/>
      <c r="D13" s="97"/>
      <c r="E13" s="97"/>
    </row>
    <row r="14" spans="1:5" x14ac:dyDescent="0.25">
      <c r="A14" s="195"/>
      <c r="B14" s="97"/>
      <c r="C14" s="12" t="s">
        <v>146</v>
      </c>
      <c r="D14" s="97"/>
      <c r="E14" s="97"/>
    </row>
    <row r="15" spans="1:5" x14ac:dyDescent="0.25">
      <c r="A15" s="195"/>
      <c r="B15" s="97"/>
      <c r="C15" s="12"/>
      <c r="D15" s="97"/>
      <c r="E15" s="97"/>
    </row>
    <row r="16" spans="1:5" x14ac:dyDescent="0.25">
      <c r="A16" s="195"/>
      <c r="B16" s="97"/>
      <c r="C16" s="12"/>
      <c r="D16" s="97"/>
      <c r="E16" s="97"/>
    </row>
    <row r="17" spans="1:5" x14ac:dyDescent="0.25">
      <c r="A17" s="195"/>
      <c r="B17" s="97"/>
      <c r="C17" s="12"/>
      <c r="D17" s="97"/>
      <c r="E17" s="97"/>
    </row>
    <row r="18" spans="1:5" x14ac:dyDescent="0.25">
      <c r="A18" s="195"/>
      <c r="B18" s="97"/>
      <c r="C18" s="12"/>
      <c r="D18" s="97"/>
      <c r="E18" s="97"/>
    </row>
    <row r="19" spans="1:5" x14ac:dyDescent="0.25">
      <c r="A19" s="195"/>
      <c r="B19" s="97"/>
      <c r="C19" s="12"/>
      <c r="D19" s="97"/>
      <c r="E19" s="97"/>
    </row>
    <row r="20" spans="1:5" x14ac:dyDescent="0.25">
      <c r="A20" s="195"/>
      <c r="B20" s="97"/>
      <c r="C20" s="12"/>
      <c r="D20" s="97"/>
      <c r="E20" s="97"/>
    </row>
    <row r="21" spans="1:5" x14ac:dyDescent="0.25">
      <c r="A21" s="195"/>
      <c r="B21" s="97"/>
      <c r="C21" s="12"/>
      <c r="D21" s="97"/>
      <c r="E21" s="97"/>
    </row>
    <row r="22" spans="1:5" x14ac:dyDescent="0.25">
      <c r="A22" s="195"/>
      <c r="B22" s="97"/>
      <c r="C22" s="12"/>
      <c r="D22" s="97"/>
      <c r="E22" s="97"/>
    </row>
    <row r="23" spans="1:5" x14ac:dyDescent="0.25">
      <c r="A23" s="195"/>
      <c r="B23" s="97"/>
      <c r="C23" s="12"/>
      <c r="D23" s="97"/>
      <c r="E23" s="97"/>
    </row>
    <row r="24" spans="1:5" x14ac:dyDescent="0.25">
      <c r="A24" s="195"/>
      <c r="B24" s="97"/>
      <c r="C24" s="12"/>
      <c r="D24" s="97"/>
      <c r="E24" s="97"/>
    </row>
    <row r="25" spans="1:5" x14ac:dyDescent="0.25">
      <c r="A25" s="195"/>
      <c r="B25" s="97"/>
      <c r="C25" s="12"/>
      <c r="D25" s="97"/>
      <c r="E25" s="97"/>
    </row>
    <row r="26" spans="1:5" x14ac:dyDescent="0.25">
      <c r="A26" s="195"/>
      <c r="B26" s="97"/>
      <c r="C26" s="12"/>
      <c r="D26" s="97"/>
      <c r="E26" s="97"/>
    </row>
    <row r="27" spans="1:5" x14ac:dyDescent="0.25">
      <c r="A27" s="195"/>
      <c r="B27" s="97"/>
      <c r="C27" s="12"/>
      <c r="D27" s="97"/>
      <c r="E27" s="97"/>
    </row>
    <row r="28" spans="1:5" x14ac:dyDescent="0.25">
      <c r="A28" s="195"/>
      <c r="B28" s="97"/>
      <c r="C28" s="12"/>
      <c r="D28" s="97"/>
      <c r="E28" s="97"/>
    </row>
    <row r="29" spans="1:5" x14ac:dyDescent="0.25">
      <c r="A29" s="195"/>
      <c r="B29" s="97"/>
      <c r="C29" s="12"/>
      <c r="D29" s="97"/>
      <c r="E29" s="97"/>
    </row>
    <row r="30" spans="1:5" x14ac:dyDescent="0.25">
      <c r="A30" s="195"/>
      <c r="B30" s="97"/>
      <c r="C30" s="12"/>
      <c r="D30" s="97"/>
      <c r="E30" s="97"/>
    </row>
    <row r="31" spans="1:5" x14ac:dyDescent="0.25">
      <c r="A31" s="195"/>
      <c r="B31" s="97"/>
      <c r="C31" s="12"/>
      <c r="D31" s="97"/>
      <c r="E31" s="97"/>
    </row>
    <row r="32" spans="1:5" x14ac:dyDescent="0.25">
      <c r="A32" s="195"/>
      <c r="B32" s="97"/>
      <c r="C32" s="12"/>
      <c r="D32" s="97"/>
      <c r="E32" s="97"/>
    </row>
    <row r="33" spans="1:5" x14ac:dyDescent="0.25">
      <c r="A33" s="195"/>
      <c r="B33" s="97"/>
      <c r="C33" s="12"/>
      <c r="D33" s="97"/>
      <c r="E33" s="97"/>
    </row>
    <row r="34" spans="1:5" x14ac:dyDescent="0.25">
      <c r="A34" s="195"/>
      <c r="B34" s="97"/>
      <c r="C34" s="12"/>
      <c r="D34" s="97"/>
      <c r="E34" s="97"/>
    </row>
    <row r="35" spans="1:5" x14ac:dyDescent="0.25">
      <c r="A35" s="195"/>
      <c r="B35" s="97"/>
      <c r="C35" s="12"/>
      <c r="D35" s="97"/>
      <c r="E35" s="97"/>
    </row>
    <row r="36" spans="1:5" x14ac:dyDescent="0.25">
      <c r="A36" s="195"/>
      <c r="B36" s="97"/>
      <c r="C36" s="12"/>
      <c r="D36" s="97"/>
      <c r="E36" s="97"/>
    </row>
    <row r="37" spans="1:5" x14ac:dyDescent="0.25">
      <c r="A37" s="195"/>
      <c r="B37" s="97"/>
      <c r="C37" s="12"/>
      <c r="D37" s="97"/>
      <c r="E37" s="97"/>
    </row>
  </sheetData>
  <mergeCells count="1">
    <mergeCell ref="A1:E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0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4" sqref="A4:XFD8"/>
    </sheetView>
  </sheetViews>
  <sheetFormatPr defaultRowHeight="15" x14ac:dyDescent="0.25"/>
  <cols>
    <col min="1" max="1" width="13.85546875" customWidth="1"/>
    <col min="2" max="2" width="18.85546875" customWidth="1"/>
    <col min="3" max="3" width="15.42578125" customWidth="1"/>
    <col min="4" max="4" width="13.85546875" customWidth="1"/>
    <col min="5" max="5" width="14" customWidth="1"/>
  </cols>
  <sheetData>
    <row r="1" spans="1:5" ht="18.75" x14ac:dyDescent="0.25">
      <c r="A1" s="384" t="s">
        <v>70</v>
      </c>
      <c r="B1" s="384"/>
      <c r="C1" s="384"/>
      <c r="D1" s="384"/>
      <c r="E1" s="384"/>
    </row>
    <row r="2" spans="1:5" x14ac:dyDescent="0.25">
      <c r="A2" s="65"/>
      <c r="B2" s="65"/>
      <c r="C2" s="98" t="s">
        <v>23</v>
      </c>
      <c r="D2" s="98">
        <f>SUM(D4:D30)</f>
        <v>0</v>
      </c>
      <c r="E2" s="65"/>
    </row>
    <row r="3" spans="1:5" x14ac:dyDescent="0.25">
      <c r="A3" s="99" t="s">
        <v>36</v>
      </c>
      <c r="B3" s="99" t="s">
        <v>68</v>
      </c>
      <c r="C3" s="99" t="s">
        <v>5</v>
      </c>
      <c r="D3" s="99" t="s">
        <v>56</v>
      </c>
      <c r="E3" s="99" t="s">
        <v>57</v>
      </c>
    </row>
    <row r="4" spans="1:5" x14ac:dyDescent="0.25">
      <c r="A4" s="212"/>
      <c r="B4" s="73"/>
      <c r="C4" s="73"/>
      <c r="D4" s="73"/>
      <c r="E4" s="73"/>
    </row>
    <row r="5" spans="1:5" x14ac:dyDescent="0.25">
      <c r="A5" s="212"/>
      <c r="B5" s="73"/>
      <c r="C5" s="73"/>
      <c r="D5" s="73"/>
      <c r="E5" s="73"/>
    </row>
    <row r="6" spans="1:5" x14ac:dyDescent="0.25">
      <c r="A6" s="212"/>
      <c r="B6" s="73"/>
      <c r="C6" s="73"/>
      <c r="D6" s="73"/>
      <c r="E6" s="73"/>
    </row>
    <row r="7" spans="1:5" x14ac:dyDescent="0.25">
      <c r="A7" s="212"/>
      <c r="B7" s="73"/>
      <c r="C7" s="73"/>
      <c r="D7" s="73"/>
      <c r="E7" s="73"/>
    </row>
    <row r="8" spans="1:5" x14ac:dyDescent="0.25">
      <c r="A8" s="212"/>
      <c r="B8" s="73"/>
      <c r="C8" s="73"/>
      <c r="D8" s="73"/>
      <c r="E8" s="73"/>
    </row>
    <row r="9" spans="1:5" x14ac:dyDescent="0.25">
      <c r="A9" s="73"/>
      <c r="B9" s="73"/>
      <c r="C9" s="73"/>
      <c r="D9" s="73"/>
      <c r="E9" s="73"/>
    </row>
    <row r="10" spans="1:5" x14ac:dyDescent="0.25">
      <c r="A10" s="73"/>
      <c r="B10" s="73"/>
      <c r="C10" s="73"/>
      <c r="D10" s="73"/>
      <c r="E10" s="73"/>
    </row>
    <row r="11" spans="1:5" x14ac:dyDescent="0.25">
      <c r="A11" s="73"/>
      <c r="B11" s="73"/>
      <c r="C11" s="73"/>
      <c r="D11" s="73"/>
      <c r="E11" s="73"/>
    </row>
    <row r="12" spans="1:5" x14ac:dyDescent="0.25">
      <c r="A12" s="73"/>
      <c r="B12" s="73"/>
      <c r="C12" s="73"/>
      <c r="D12" s="73"/>
      <c r="E12" s="73"/>
    </row>
    <row r="13" spans="1:5" x14ac:dyDescent="0.25">
      <c r="A13" s="73"/>
      <c r="B13" s="73"/>
      <c r="C13" s="73"/>
      <c r="D13" s="73"/>
      <c r="E13" s="73"/>
    </row>
    <row r="14" spans="1:5" x14ac:dyDescent="0.25">
      <c r="A14" s="73"/>
      <c r="B14" s="73"/>
      <c r="C14" s="73"/>
      <c r="D14" s="73"/>
      <c r="E14" s="73"/>
    </row>
    <row r="15" spans="1:5" x14ac:dyDescent="0.25">
      <c r="A15" s="73"/>
      <c r="B15" s="73"/>
      <c r="C15" s="73"/>
      <c r="D15" s="73"/>
      <c r="E15" s="73"/>
    </row>
    <row r="16" spans="1:5" x14ac:dyDescent="0.25">
      <c r="A16" s="73"/>
      <c r="B16" s="73"/>
      <c r="C16" s="73"/>
      <c r="D16" s="73"/>
      <c r="E16" s="73"/>
    </row>
    <row r="17" spans="1:5" x14ac:dyDescent="0.25">
      <c r="A17" s="73"/>
      <c r="B17" s="73"/>
      <c r="C17" s="73"/>
      <c r="D17" s="73"/>
      <c r="E17" s="73"/>
    </row>
    <row r="18" spans="1:5" x14ac:dyDescent="0.25">
      <c r="A18" s="73"/>
      <c r="B18" s="73"/>
      <c r="C18" s="73"/>
      <c r="D18" s="73"/>
      <c r="E18" s="73"/>
    </row>
    <row r="19" spans="1:5" x14ac:dyDescent="0.25">
      <c r="A19" s="73"/>
      <c r="B19" s="73"/>
      <c r="C19" s="73"/>
      <c r="D19" s="73"/>
      <c r="E19" s="73"/>
    </row>
    <row r="20" spans="1:5" x14ac:dyDescent="0.25">
      <c r="A20" s="73"/>
      <c r="B20" s="73"/>
      <c r="C20" s="73"/>
      <c r="D20" s="73"/>
      <c r="E20" s="73"/>
    </row>
    <row r="21" spans="1:5" x14ac:dyDescent="0.25">
      <c r="A21" s="73"/>
      <c r="B21" s="73"/>
      <c r="C21" s="73"/>
      <c r="D21" s="73"/>
      <c r="E21" s="73"/>
    </row>
    <row r="22" spans="1:5" x14ac:dyDescent="0.25">
      <c r="A22" s="73"/>
      <c r="B22" s="73"/>
      <c r="C22" s="73"/>
      <c r="D22" s="73"/>
      <c r="E22" s="73"/>
    </row>
    <row r="23" spans="1:5" x14ac:dyDescent="0.25">
      <c r="A23" s="73"/>
      <c r="B23" s="73"/>
      <c r="C23" s="73"/>
      <c r="D23" s="73"/>
      <c r="E23" s="73"/>
    </row>
    <row r="24" spans="1:5" x14ac:dyDescent="0.25">
      <c r="A24" s="73"/>
      <c r="B24" s="73"/>
      <c r="C24" s="73"/>
      <c r="D24" s="73"/>
      <c r="E24" s="73"/>
    </row>
    <row r="25" spans="1:5" x14ac:dyDescent="0.25">
      <c r="A25" s="73"/>
      <c r="B25" s="73"/>
      <c r="C25" s="73"/>
      <c r="D25" s="73"/>
      <c r="E25" s="73"/>
    </row>
    <row r="26" spans="1:5" x14ac:dyDescent="0.25">
      <c r="A26" s="73"/>
      <c r="B26" s="73"/>
      <c r="C26" s="73"/>
      <c r="D26" s="73"/>
      <c r="E26" s="73"/>
    </row>
    <row r="27" spans="1:5" x14ac:dyDescent="0.25">
      <c r="A27" s="73"/>
      <c r="B27" s="73"/>
      <c r="C27" s="73"/>
      <c r="D27" s="73"/>
      <c r="E27" s="73"/>
    </row>
    <row r="28" spans="1:5" x14ac:dyDescent="0.25">
      <c r="A28" s="73"/>
      <c r="B28" s="73"/>
      <c r="C28" s="73"/>
      <c r="D28" s="73"/>
      <c r="E28" s="73"/>
    </row>
    <row r="29" spans="1:5" x14ac:dyDescent="0.25">
      <c r="A29" s="73"/>
      <c r="B29" s="73"/>
      <c r="C29" s="73"/>
      <c r="D29" s="73"/>
      <c r="E29" s="73"/>
    </row>
    <row r="30" spans="1:5" x14ac:dyDescent="0.25">
      <c r="A30" s="73"/>
      <c r="B30" s="73"/>
      <c r="C30" s="73"/>
      <c r="D30" s="73"/>
      <c r="E30" s="73"/>
    </row>
  </sheetData>
  <mergeCells count="1">
    <mergeCell ref="A1:E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H10"/>
  <sheetViews>
    <sheetView workbookViewId="0">
      <selection activeCell="AG11" sqref="AG11"/>
    </sheetView>
  </sheetViews>
  <sheetFormatPr defaultRowHeight="15" x14ac:dyDescent="0.25"/>
  <cols>
    <col min="1" max="1" width="3.5703125" customWidth="1"/>
    <col min="2" max="2" width="24.5703125" customWidth="1"/>
    <col min="3" max="19" width="3.7109375" customWidth="1"/>
    <col min="20" max="20" width="5" bestFit="1" customWidth="1"/>
    <col min="21" max="27" width="3.7109375" customWidth="1"/>
    <col min="28" max="28" width="5" bestFit="1" customWidth="1"/>
    <col min="29" max="33" width="3.7109375" customWidth="1"/>
    <col min="34" max="34" width="9.7109375" customWidth="1"/>
  </cols>
  <sheetData>
    <row r="1" spans="1:34" x14ac:dyDescent="0.25">
      <c r="A1" s="77"/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100" t="s">
        <v>71</v>
      </c>
      <c r="X1" s="9"/>
      <c r="Y1" s="9"/>
      <c r="Z1" s="9"/>
      <c r="AA1" s="77"/>
      <c r="AB1" s="77"/>
      <c r="AC1" s="77"/>
      <c r="AD1" s="77"/>
      <c r="AE1" s="77"/>
      <c r="AF1" s="77"/>
      <c r="AG1" s="77"/>
      <c r="AH1" s="77"/>
    </row>
    <row r="2" spans="1:34" x14ac:dyDescent="0.25">
      <c r="A2" s="77"/>
      <c r="B2" s="90" t="s">
        <v>72</v>
      </c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 x14ac:dyDescent="0.25">
      <c r="A3" s="100"/>
      <c r="B3" s="101" t="s">
        <v>73</v>
      </c>
      <c r="C3" s="101">
        <v>1</v>
      </c>
      <c r="D3" s="101">
        <v>2</v>
      </c>
      <c r="E3" s="101">
        <v>3</v>
      </c>
      <c r="F3" s="101">
        <v>4</v>
      </c>
      <c r="G3" s="101">
        <v>5</v>
      </c>
      <c r="H3" s="101">
        <v>6</v>
      </c>
      <c r="I3" s="101">
        <v>7</v>
      </c>
      <c r="J3" s="101">
        <v>8</v>
      </c>
      <c r="K3" s="101">
        <v>9</v>
      </c>
      <c r="L3" s="101">
        <v>10</v>
      </c>
      <c r="M3" s="101">
        <v>11</v>
      </c>
      <c r="N3" s="101">
        <v>12</v>
      </c>
      <c r="O3" s="101">
        <v>13</v>
      </c>
      <c r="P3" s="101">
        <v>14</v>
      </c>
      <c r="Q3" s="101">
        <v>15</v>
      </c>
      <c r="R3" s="101">
        <v>16</v>
      </c>
      <c r="S3" s="101">
        <v>17</v>
      </c>
      <c r="T3" s="101">
        <v>18</v>
      </c>
      <c r="U3" s="101">
        <v>19</v>
      </c>
      <c r="V3" s="101">
        <v>20</v>
      </c>
      <c r="W3" s="101">
        <v>21</v>
      </c>
      <c r="X3" s="101">
        <v>22</v>
      </c>
      <c r="Y3" s="101">
        <v>23</v>
      </c>
      <c r="Z3" s="101">
        <v>24</v>
      </c>
      <c r="AA3" s="101">
        <v>25</v>
      </c>
      <c r="AB3" s="101">
        <v>26</v>
      </c>
      <c r="AC3" s="101">
        <v>27</v>
      </c>
      <c r="AD3" s="101">
        <v>28</v>
      </c>
      <c r="AE3" s="101">
        <v>29</v>
      </c>
      <c r="AF3" s="101">
        <v>30</v>
      </c>
      <c r="AG3" s="101">
        <v>31</v>
      </c>
      <c r="AH3" s="101" t="s">
        <v>23</v>
      </c>
    </row>
    <row r="4" spans="1:34" x14ac:dyDescent="0.25">
      <c r="A4" s="77"/>
      <c r="B4" s="54" t="s">
        <v>74</v>
      </c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>
        <f>SUM(C4:AG4)</f>
        <v>0</v>
      </c>
    </row>
    <row r="5" spans="1:34" x14ac:dyDescent="0.25">
      <c r="A5" s="77"/>
      <c r="B5" s="54" t="s">
        <v>8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</row>
    <row r="6" spans="1:34" x14ac:dyDescent="0.25">
      <c r="A6" s="77"/>
      <c r="B6" s="54" t="s">
        <v>9</v>
      </c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spans="1:34" x14ac:dyDescent="0.25">
      <c r="A7" s="77"/>
      <c r="B7" s="54" t="s">
        <v>10</v>
      </c>
      <c r="C7" s="54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spans="1:34" x14ac:dyDescent="0.25">
      <c r="A8" s="77"/>
      <c r="B8" s="54" t="s">
        <v>75</v>
      </c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  <c r="AG8" s="54"/>
      <c r="AH8" s="54"/>
    </row>
    <row r="9" spans="1:34" x14ac:dyDescent="0.25">
      <c r="A9" s="77"/>
      <c r="B9" s="54"/>
      <c r="C9" s="102">
        <f>SUM(C4:C8)</f>
        <v>0</v>
      </c>
      <c r="D9" s="102">
        <f t="shared" ref="D9:Q9" si="0">SUM(D4:D8)</f>
        <v>0</v>
      </c>
      <c r="E9" s="102">
        <f t="shared" si="0"/>
        <v>0</v>
      </c>
      <c r="F9" s="102">
        <f t="shared" si="0"/>
        <v>0</v>
      </c>
      <c r="G9" s="102">
        <f t="shared" si="0"/>
        <v>0</v>
      </c>
      <c r="H9" s="102">
        <f t="shared" si="0"/>
        <v>0</v>
      </c>
      <c r="I9" s="102">
        <f t="shared" si="0"/>
        <v>0</v>
      </c>
      <c r="J9" s="102">
        <f t="shared" si="0"/>
        <v>0</v>
      </c>
      <c r="K9" s="102">
        <f t="shared" si="0"/>
        <v>0</v>
      </c>
      <c r="L9" s="102">
        <f t="shared" si="0"/>
        <v>0</v>
      </c>
      <c r="M9" s="102">
        <f t="shared" si="0"/>
        <v>0</v>
      </c>
      <c r="N9" s="102">
        <f t="shared" si="0"/>
        <v>0</v>
      </c>
      <c r="O9" s="102">
        <f t="shared" si="0"/>
        <v>0</v>
      </c>
      <c r="P9" s="102">
        <f t="shared" si="0"/>
        <v>0</v>
      </c>
      <c r="Q9" s="102">
        <f t="shared" si="0"/>
        <v>0</v>
      </c>
      <c r="R9" s="102"/>
      <c r="S9" s="102"/>
      <c r="T9" s="102"/>
      <c r="U9" s="102"/>
      <c r="V9" s="102"/>
      <c r="W9" s="102"/>
      <c r="X9" s="102"/>
      <c r="Y9" s="102"/>
      <c r="Z9" s="102"/>
      <c r="AA9" s="102"/>
      <c r="AB9" s="102"/>
      <c r="AC9" s="102"/>
      <c r="AD9" s="102"/>
      <c r="AE9" s="102"/>
      <c r="AF9" s="102"/>
      <c r="AG9" s="102"/>
      <c r="AH9" s="102"/>
    </row>
    <row r="10" spans="1:34" x14ac:dyDescent="0.25">
      <c r="A10" s="77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  <c r="Z10" s="54"/>
      <c r="AA10" s="54"/>
      <c r="AB10" s="54"/>
      <c r="AC10" s="54"/>
      <c r="AD10" s="54"/>
      <c r="AE10" s="54"/>
      <c r="AF10" s="54"/>
      <c r="AG10" s="54"/>
      <c r="AH10" s="54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35"/>
  <sheetViews>
    <sheetView topLeftCell="A2" workbookViewId="0">
      <selection activeCell="K8" sqref="K8"/>
    </sheetView>
  </sheetViews>
  <sheetFormatPr defaultRowHeight="15" x14ac:dyDescent="0.25"/>
  <cols>
    <col min="2" max="2" width="9.7109375" style="143" bestFit="1" customWidth="1"/>
    <col min="3" max="3" width="22" customWidth="1"/>
    <col min="4" max="4" width="16" customWidth="1"/>
    <col min="5" max="5" width="20.42578125" customWidth="1"/>
    <col min="8" max="8" width="13.7109375" customWidth="1"/>
    <col min="9" max="9" width="27.7109375" customWidth="1"/>
    <col min="10" max="10" width="16.28515625" customWidth="1"/>
    <col min="11" max="11" width="16" customWidth="1"/>
  </cols>
  <sheetData>
    <row r="1" spans="1:11" ht="21" x14ac:dyDescent="0.25">
      <c r="A1" s="391" t="s">
        <v>0</v>
      </c>
      <c r="B1" s="392"/>
      <c r="C1" s="392"/>
      <c r="D1" s="392"/>
      <c r="E1" s="393"/>
      <c r="G1" s="391" t="s">
        <v>0</v>
      </c>
      <c r="H1" s="392"/>
      <c r="I1" s="392"/>
      <c r="J1" s="392"/>
      <c r="K1" s="393"/>
    </row>
    <row r="2" spans="1:11" x14ac:dyDescent="0.25">
      <c r="A2" s="337"/>
      <c r="B2" s="330"/>
      <c r="C2" s="330"/>
      <c r="D2" s="330"/>
      <c r="E2" s="338"/>
      <c r="G2" s="337"/>
      <c r="H2" s="330"/>
      <c r="I2" s="330"/>
      <c r="J2" s="330"/>
      <c r="K2" s="338"/>
    </row>
    <row r="3" spans="1:11" ht="15.75" x14ac:dyDescent="0.25">
      <c r="A3" s="386" t="s">
        <v>76</v>
      </c>
      <c r="B3" s="387"/>
      <c r="C3" s="103" t="s">
        <v>113</v>
      </c>
      <c r="D3" s="103"/>
      <c r="E3" s="104"/>
      <c r="G3" s="219" t="s">
        <v>131</v>
      </c>
      <c r="H3" s="103"/>
      <c r="I3" s="103"/>
      <c r="J3" s="103"/>
      <c r="K3" s="104"/>
    </row>
    <row r="4" spans="1:11" x14ac:dyDescent="0.25">
      <c r="A4" s="105"/>
      <c r="E4" s="106"/>
      <c r="G4" s="105"/>
      <c r="K4" s="106"/>
    </row>
    <row r="5" spans="1:11" x14ac:dyDescent="0.25">
      <c r="A5" s="107" t="s">
        <v>77</v>
      </c>
      <c r="B5" s="178" t="s">
        <v>36</v>
      </c>
      <c r="C5" s="108" t="s">
        <v>55</v>
      </c>
      <c r="D5" s="108" t="s">
        <v>62</v>
      </c>
      <c r="E5" s="109" t="s">
        <v>56</v>
      </c>
      <c r="G5" s="107" t="s">
        <v>77</v>
      </c>
      <c r="H5" s="108" t="s">
        <v>36</v>
      </c>
      <c r="I5" s="108" t="s">
        <v>55</v>
      </c>
      <c r="J5" s="108" t="s">
        <v>62</v>
      </c>
      <c r="K5" s="109" t="s">
        <v>56</v>
      </c>
    </row>
    <row r="6" spans="1:11" x14ac:dyDescent="0.25">
      <c r="A6" s="110">
        <v>1</v>
      </c>
      <c r="B6" s="147"/>
      <c r="C6" s="111"/>
      <c r="D6" s="111"/>
      <c r="E6" s="112"/>
      <c r="G6" s="110">
        <v>1</v>
      </c>
      <c r="H6" s="218"/>
      <c r="I6" s="111"/>
      <c r="J6" s="111"/>
      <c r="K6" s="112"/>
    </row>
    <row r="7" spans="1:11" x14ac:dyDescent="0.25">
      <c r="A7" s="110">
        <v>2</v>
      </c>
      <c r="B7" s="147"/>
      <c r="C7" s="111"/>
      <c r="D7" s="111"/>
      <c r="E7" s="112"/>
      <c r="G7" s="110"/>
      <c r="H7" s="111"/>
      <c r="I7" s="111"/>
      <c r="J7" s="111"/>
      <c r="K7" s="112"/>
    </row>
    <row r="8" spans="1:11" ht="15.75" x14ac:dyDescent="0.25">
      <c r="A8" s="110">
        <v>3</v>
      </c>
      <c r="B8" s="147"/>
      <c r="C8" s="111"/>
      <c r="D8" s="111"/>
      <c r="E8" s="112"/>
      <c r="G8" s="394" t="s">
        <v>23</v>
      </c>
      <c r="H8" s="395"/>
      <c r="I8" s="395"/>
      <c r="J8" s="396"/>
      <c r="K8" s="112"/>
    </row>
    <row r="9" spans="1:11" x14ac:dyDescent="0.25">
      <c r="A9" s="110">
        <v>4</v>
      </c>
      <c r="B9" s="147"/>
      <c r="C9" s="111"/>
      <c r="D9" s="111"/>
      <c r="E9" s="112"/>
      <c r="G9" s="105"/>
      <c r="K9" s="106"/>
    </row>
    <row r="10" spans="1:11" x14ac:dyDescent="0.25">
      <c r="A10" s="110">
        <v>5</v>
      </c>
      <c r="B10" s="147"/>
      <c r="C10" s="111"/>
      <c r="D10" s="111"/>
      <c r="E10" s="112"/>
      <c r="G10" s="113"/>
      <c r="H10" s="114"/>
      <c r="I10" s="114"/>
      <c r="J10" s="114"/>
      <c r="K10" s="115"/>
    </row>
    <row r="11" spans="1:11" x14ac:dyDescent="0.25">
      <c r="A11" s="110">
        <v>6</v>
      </c>
      <c r="B11" s="147"/>
      <c r="C11" s="111"/>
      <c r="D11" s="111"/>
      <c r="E11" s="112"/>
      <c r="G11" s="116" t="s">
        <v>78</v>
      </c>
      <c r="H11" s="47"/>
      <c r="I11" s="47" t="s">
        <v>79</v>
      </c>
      <c r="J11" s="47" t="s">
        <v>80</v>
      </c>
      <c r="K11" s="117"/>
    </row>
    <row r="12" spans="1:11" ht="16.5" thickBot="1" x14ac:dyDescent="0.3">
      <c r="A12" s="394" t="s">
        <v>23</v>
      </c>
      <c r="B12" s="395"/>
      <c r="C12" s="395"/>
      <c r="D12" s="396"/>
      <c r="E12" s="112">
        <f>SUM(E6:E11)</f>
        <v>0</v>
      </c>
      <c r="G12" s="118" t="s">
        <v>30</v>
      </c>
      <c r="H12" s="119"/>
      <c r="I12" s="119" t="s">
        <v>81</v>
      </c>
      <c r="J12" s="119" t="s">
        <v>82</v>
      </c>
      <c r="K12" s="120"/>
    </row>
    <row r="13" spans="1:11" x14ac:dyDescent="0.25">
      <c r="A13" s="105"/>
      <c r="E13" s="106"/>
    </row>
    <row r="14" spans="1:11" ht="15.75" thickBot="1" x14ac:dyDescent="0.3">
      <c r="A14" s="113"/>
      <c r="B14" s="179"/>
      <c r="C14" s="114"/>
      <c r="D14" s="114"/>
      <c r="E14" s="115"/>
    </row>
    <row r="15" spans="1:11" ht="21" x14ac:dyDescent="0.25">
      <c r="A15" s="116" t="s">
        <v>78</v>
      </c>
      <c r="B15" s="180"/>
      <c r="C15" s="47" t="s">
        <v>79</v>
      </c>
      <c r="D15" s="47" t="s">
        <v>80</v>
      </c>
      <c r="E15" s="117"/>
      <c r="G15" s="391" t="s">
        <v>0</v>
      </c>
      <c r="H15" s="392"/>
      <c r="I15" s="392"/>
      <c r="J15" s="392"/>
      <c r="K15" s="393"/>
    </row>
    <row r="16" spans="1:11" ht="16.5" thickBot="1" x14ac:dyDescent="0.3">
      <c r="A16" s="118" t="s">
        <v>30</v>
      </c>
      <c r="B16" s="181"/>
      <c r="C16" s="119" t="s">
        <v>81</v>
      </c>
      <c r="D16" s="119" t="s">
        <v>82</v>
      </c>
      <c r="E16" s="120"/>
      <c r="G16" s="337"/>
      <c r="H16" s="330"/>
      <c r="I16" s="330"/>
      <c r="J16" s="330"/>
      <c r="K16" s="338"/>
    </row>
    <row r="17" spans="1:11" ht="15.75" x14ac:dyDescent="0.25">
      <c r="G17" s="386" t="s">
        <v>76</v>
      </c>
      <c r="H17" s="387"/>
      <c r="I17" s="103"/>
      <c r="J17" s="103"/>
      <c r="K17" s="104"/>
    </row>
    <row r="18" spans="1:11" ht="15.75" thickBot="1" x14ac:dyDescent="0.3">
      <c r="G18" s="105"/>
      <c r="K18" s="106"/>
    </row>
    <row r="19" spans="1:11" ht="21" x14ac:dyDescent="0.25">
      <c r="A19" s="391" t="s">
        <v>0</v>
      </c>
      <c r="B19" s="392"/>
      <c r="C19" s="392"/>
      <c r="D19" s="392"/>
      <c r="E19" s="393"/>
      <c r="G19" s="121" t="s">
        <v>77</v>
      </c>
      <c r="H19" s="48" t="s">
        <v>36</v>
      </c>
      <c r="I19" s="48" t="s">
        <v>55</v>
      </c>
      <c r="J19" s="48" t="s">
        <v>62</v>
      </c>
      <c r="K19" s="122" t="s">
        <v>56</v>
      </c>
    </row>
    <row r="20" spans="1:11" x14ac:dyDescent="0.25">
      <c r="A20" s="337"/>
      <c r="B20" s="330"/>
      <c r="C20" s="330"/>
      <c r="D20" s="330"/>
      <c r="E20" s="338"/>
      <c r="G20" s="110">
        <v>1</v>
      </c>
      <c r="H20" s="111"/>
      <c r="I20" s="111"/>
      <c r="J20" s="111"/>
      <c r="K20" s="112"/>
    </row>
    <row r="21" spans="1:11" ht="15.75" x14ac:dyDescent="0.25">
      <c r="A21" s="386" t="s">
        <v>76</v>
      </c>
      <c r="B21" s="387"/>
      <c r="C21" s="103"/>
      <c r="D21" s="103"/>
      <c r="E21" s="104"/>
      <c r="G21" s="110">
        <v>2</v>
      </c>
      <c r="H21" s="111"/>
      <c r="I21" s="111"/>
      <c r="J21" s="111"/>
      <c r="K21" s="112"/>
    </row>
    <row r="22" spans="1:11" x14ac:dyDescent="0.25">
      <c r="A22" s="105"/>
      <c r="E22" s="106"/>
      <c r="G22" s="110">
        <v>3</v>
      </c>
      <c r="H22" s="111"/>
      <c r="I22" s="111"/>
      <c r="J22" s="111"/>
      <c r="K22" s="112"/>
    </row>
    <row r="23" spans="1:11" x14ac:dyDescent="0.25">
      <c r="A23" s="121" t="s">
        <v>77</v>
      </c>
      <c r="B23" s="182" t="s">
        <v>36</v>
      </c>
      <c r="C23" s="48" t="s">
        <v>55</v>
      </c>
      <c r="D23" s="48" t="s">
        <v>62</v>
      </c>
      <c r="E23" s="122" t="s">
        <v>56</v>
      </c>
      <c r="G23" s="110">
        <v>4</v>
      </c>
      <c r="H23" s="111"/>
      <c r="I23" s="111"/>
      <c r="J23" s="111"/>
      <c r="K23" s="112"/>
    </row>
    <row r="24" spans="1:11" x14ac:dyDescent="0.25">
      <c r="A24" s="110">
        <v>1</v>
      </c>
      <c r="B24" s="147"/>
      <c r="C24" s="111"/>
      <c r="D24" s="111"/>
      <c r="E24" s="112"/>
      <c r="G24" s="110">
        <v>5</v>
      </c>
      <c r="H24" s="111"/>
      <c r="I24" s="111"/>
      <c r="J24" s="111"/>
      <c r="K24" s="112"/>
    </row>
    <row r="25" spans="1:11" x14ac:dyDescent="0.25">
      <c r="A25" s="110">
        <v>2</v>
      </c>
      <c r="B25" s="147"/>
      <c r="C25" s="111"/>
      <c r="D25" s="111"/>
      <c r="E25" s="112"/>
      <c r="G25" s="110">
        <v>6</v>
      </c>
      <c r="H25" s="111"/>
      <c r="I25" s="111"/>
      <c r="J25" s="111"/>
      <c r="K25" s="112"/>
    </row>
    <row r="26" spans="1:11" x14ac:dyDescent="0.25">
      <c r="A26" s="110">
        <v>3</v>
      </c>
      <c r="B26" s="147"/>
      <c r="C26" s="111"/>
      <c r="D26" s="111"/>
      <c r="E26" s="112"/>
      <c r="G26" s="388" t="s">
        <v>23</v>
      </c>
      <c r="H26" s="389"/>
      <c r="I26" s="389"/>
      <c r="J26" s="390"/>
      <c r="K26" s="112"/>
    </row>
    <row r="27" spans="1:11" x14ac:dyDescent="0.25">
      <c r="A27" s="110">
        <v>4</v>
      </c>
      <c r="B27" s="147"/>
      <c r="C27" s="111"/>
      <c r="D27" s="111"/>
      <c r="E27" s="112"/>
      <c r="G27" s="105"/>
      <c r="K27" s="106"/>
    </row>
    <row r="28" spans="1:11" x14ac:dyDescent="0.25">
      <c r="A28" s="110">
        <v>5</v>
      </c>
      <c r="B28" s="147"/>
      <c r="C28" s="111"/>
      <c r="D28" s="111"/>
      <c r="E28" s="112"/>
      <c r="G28" s="105"/>
      <c r="K28" s="106"/>
    </row>
    <row r="29" spans="1:11" x14ac:dyDescent="0.25">
      <c r="A29" s="110">
        <v>6</v>
      </c>
      <c r="B29" s="147"/>
      <c r="C29" s="111"/>
      <c r="D29" s="111"/>
      <c r="E29" s="112"/>
      <c r="G29" s="113"/>
      <c r="H29" s="114"/>
      <c r="I29" s="114"/>
      <c r="J29" s="114"/>
      <c r="K29" s="115"/>
    </row>
    <row r="30" spans="1:11" x14ac:dyDescent="0.25">
      <c r="A30" s="388" t="s">
        <v>23</v>
      </c>
      <c r="B30" s="389"/>
      <c r="C30" s="389"/>
      <c r="D30" s="390"/>
      <c r="E30" s="112"/>
      <c r="G30" s="116" t="s">
        <v>78</v>
      </c>
      <c r="H30" s="47"/>
      <c r="I30" s="47" t="s">
        <v>79</v>
      </c>
      <c r="J30" s="47" t="s">
        <v>80</v>
      </c>
      <c r="K30" s="117"/>
    </row>
    <row r="31" spans="1:11" ht="16.5" thickBot="1" x14ac:dyDescent="0.3">
      <c r="A31" s="105"/>
      <c r="E31" s="106"/>
      <c r="G31" s="118" t="s">
        <v>30</v>
      </c>
      <c r="H31" s="119"/>
      <c r="I31" s="119" t="s">
        <v>81</v>
      </c>
      <c r="J31" s="119" t="s">
        <v>82</v>
      </c>
      <c r="K31" s="120"/>
    </row>
    <row r="32" spans="1:11" x14ac:dyDescent="0.25">
      <c r="A32" s="105"/>
      <c r="E32" s="106"/>
    </row>
    <row r="33" spans="1:5" x14ac:dyDescent="0.25">
      <c r="A33" s="113"/>
      <c r="B33" s="179"/>
      <c r="C33" s="114"/>
      <c r="D33" s="114"/>
      <c r="E33" s="115"/>
    </row>
    <row r="34" spans="1:5" x14ac:dyDescent="0.25">
      <c r="A34" s="116" t="s">
        <v>78</v>
      </c>
      <c r="B34" s="180"/>
      <c r="C34" s="47" t="s">
        <v>79</v>
      </c>
      <c r="D34" s="47" t="s">
        <v>80</v>
      </c>
      <c r="E34" s="117"/>
    </row>
    <row r="35" spans="1:5" ht="16.5" thickBot="1" x14ac:dyDescent="0.3">
      <c r="A35" s="118" t="s">
        <v>30</v>
      </c>
      <c r="B35" s="181"/>
      <c r="C35" s="119" t="s">
        <v>81</v>
      </c>
      <c r="D35" s="119" t="s">
        <v>82</v>
      </c>
      <c r="E35" s="120"/>
    </row>
  </sheetData>
  <mergeCells count="15">
    <mergeCell ref="A21:B21"/>
    <mergeCell ref="A30:D30"/>
    <mergeCell ref="G1:K1"/>
    <mergeCell ref="G2:K2"/>
    <mergeCell ref="G8:J8"/>
    <mergeCell ref="G15:K15"/>
    <mergeCell ref="G16:K16"/>
    <mergeCell ref="G17:H17"/>
    <mergeCell ref="G26:J26"/>
    <mergeCell ref="A1:E1"/>
    <mergeCell ref="A2:E2"/>
    <mergeCell ref="A3:B3"/>
    <mergeCell ref="A12:D12"/>
    <mergeCell ref="A19:E19"/>
    <mergeCell ref="A20:E2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M22"/>
  <sheetViews>
    <sheetView zoomScaleNormal="100" workbookViewId="0">
      <selection activeCell="L9" sqref="L9"/>
    </sheetView>
  </sheetViews>
  <sheetFormatPr defaultRowHeight="15" x14ac:dyDescent="0.25"/>
  <cols>
    <col min="1" max="1" width="7.7109375" customWidth="1"/>
    <col min="2" max="2" width="10.85546875" style="143" customWidth="1"/>
    <col min="3" max="3" width="22.85546875" style="151" customWidth="1"/>
    <col min="4" max="4" width="19.85546875" customWidth="1"/>
    <col min="5" max="5" width="9.140625" style="185"/>
    <col min="6" max="6" width="16" bestFit="1" customWidth="1"/>
    <col min="9" max="9" width="11.7109375" customWidth="1"/>
    <col min="10" max="10" width="19.5703125" customWidth="1"/>
    <col min="11" max="11" width="18.140625" bestFit="1" customWidth="1"/>
    <col min="12" max="12" width="8.140625" bestFit="1" customWidth="1"/>
    <col min="13" max="13" width="16" bestFit="1" customWidth="1"/>
  </cols>
  <sheetData>
    <row r="1" spans="1:13" ht="21" x14ac:dyDescent="0.25">
      <c r="A1" s="329" t="s">
        <v>0</v>
      </c>
      <c r="B1" s="329"/>
      <c r="C1" s="329"/>
      <c r="D1" s="329"/>
      <c r="E1" s="329"/>
      <c r="F1" s="329"/>
      <c r="H1" s="329" t="s">
        <v>0</v>
      </c>
      <c r="I1" s="329"/>
      <c r="J1" s="329"/>
      <c r="K1" s="329"/>
      <c r="L1" s="329"/>
      <c r="M1" s="329"/>
    </row>
    <row r="2" spans="1:13" ht="18.75" x14ac:dyDescent="0.25">
      <c r="A2" s="401"/>
      <c r="B2" s="401"/>
      <c r="C2" s="402" t="s">
        <v>89</v>
      </c>
      <c r="D2" s="402"/>
      <c r="E2" s="402"/>
      <c r="F2" s="139"/>
      <c r="H2" s="401"/>
      <c r="I2" s="401"/>
      <c r="J2" s="402" t="s">
        <v>122</v>
      </c>
      <c r="K2" s="402"/>
      <c r="L2" s="402"/>
      <c r="M2" s="139"/>
    </row>
    <row r="3" spans="1:13" x14ac:dyDescent="0.25">
      <c r="A3" s="108" t="s">
        <v>77</v>
      </c>
      <c r="B3" s="178" t="s">
        <v>36</v>
      </c>
      <c r="C3" s="187" t="s">
        <v>116</v>
      </c>
      <c r="D3" s="108" t="s">
        <v>5</v>
      </c>
      <c r="E3" s="108" t="s">
        <v>56</v>
      </c>
      <c r="F3" s="108" t="s">
        <v>123</v>
      </c>
      <c r="H3" s="108" t="s">
        <v>77</v>
      </c>
      <c r="I3" s="178" t="s">
        <v>36</v>
      </c>
      <c r="J3" s="85" t="s">
        <v>55</v>
      </c>
      <c r="K3" s="108" t="s">
        <v>5</v>
      </c>
      <c r="L3" s="108" t="s">
        <v>56</v>
      </c>
      <c r="M3" s="108" t="s">
        <v>123</v>
      </c>
    </row>
    <row r="4" spans="1:13" ht="26.25" x14ac:dyDescent="0.25">
      <c r="A4" s="135">
        <v>1</v>
      </c>
      <c r="B4" s="178">
        <v>45327</v>
      </c>
      <c r="C4" s="284" t="s">
        <v>220</v>
      </c>
      <c r="D4" s="108" t="s">
        <v>148</v>
      </c>
      <c r="E4" s="108">
        <v>500</v>
      </c>
      <c r="F4" s="108"/>
      <c r="H4" s="135">
        <v>1</v>
      </c>
      <c r="I4" s="200">
        <v>45571</v>
      </c>
      <c r="J4" s="187" t="s">
        <v>135</v>
      </c>
      <c r="K4" s="108" t="s">
        <v>134</v>
      </c>
      <c r="L4" s="108">
        <v>150</v>
      </c>
      <c r="M4" s="108" t="s">
        <v>163</v>
      </c>
    </row>
    <row r="5" spans="1:13" x14ac:dyDescent="0.25">
      <c r="A5" s="124"/>
      <c r="B5" s="186"/>
      <c r="C5" s="188"/>
      <c r="D5" s="281" t="s">
        <v>23</v>
      </c>
      <c r="E5" s="282">
        <f>SUM(E4:E4)</f>
        <v>500</v>
      </c>
      <c r="F5" s="108"/>
      <c r="H5" s="124"/>
      <c r="I5" s="186"/>
      <c r="J5" s="188"/>
      <c r="K5" s="281" t="s">
        <v>23</v>
      </c>
      <c r="L5" s="48">
        <f>SUM(L4:L4)</f>
        <v>150</v>
      </c>
      <c r="M5" s="108"/>
    </row>
    <row r="6" spans="1:13" x14ac:dyDescent="0.25">
      <c r="I6" s="143"/>
      <c r="J6" s="151"/>
      <c r="L6" s="185"/>
    </row>
    <row r="7" spans="1:13" x14ac:dyDescent="0.25">
      <c r="A7" s="114"/>
      <c r="B7" s="179"/>
      <c r="C7" s="189"/>
      <c r="D7" s="114"/>
      <c r="E7" s="184"/>
      <c r="F7" s="114"/>
      <c r="H7" s="114"/>
      <c r="I7" s="179" t="s">
        <v>127</v>
      </c>
      <c r="J7" s="189"/>
      <c r="K7" s="114"/>
      <c r="L7" s="184"/>
      <c r="M7" s="114"/>
    </row>
    <row r="8" spans="1:13" x14ac:dyDescent="0.25">
      <c r="A8" s="137" t="s">
        <v>78</v>
      </c>
      <c r="B8" s="180"/>
      <c r="C8" s="190"/>
      <c r="D8" s="47" t="s">
        <v>79</v>
      </c>
      <c r="F8" s="47" t="s">
        <v>80</v>
      </c>
      <c r="H8" s="137" t="s">
        <v>78</v>
      </c>
      <c r="I8" s="180"/>
      <c r="J8" s="190"/>
      <c r="K8" s="47" t="s">
        <v>79</v>
      </c>
      <c r="L8" s="185"/>
      <c r="M8" s="47" t="s">
        <v>80</v>
      </c>
    </row>
    <row r="9" spans="1:13" x14ac:dyDescent="0.25">
      <c r="A9" s="138" t="s">
        <v>30</v>
      </c>
      <c r="B9" s="179"/>
      <c r="C9" s="189"/>
      <c r="D9" s="114" t="s">
        <v>81</v>
      </c>
      <c r="F9" s="114" t="s">
        <v>82</v>
      </c>
      <c r="H9" s="138" t="s">
        <v>30</v>
      </c>
      <c r="I9" s="179"/>
      <c r="J9" s="189"/>
      <c r="K9" s="114" t="s">
        <v>81</v>
      </c>
      <c r="L9" s="185"/>
      <c r="M9" s="114" t="s">
        <v>82</v>
      </c>
    </row>
    <row r="10" spans="1:13" x14ac:dyDescent="0.25">
      <c r="I10" s="143"/>
      <c r="J10" s="151"/>
      <c r="L10" s="185"/>
    </row>
    <row r="11" spans="1:13" ht="28.5" x14ac:dyDescent="0.45">
      <c r="A11" s="397"/>
      <c r="B11" s="397"/>
      <c r="C11" s="397"/>
      <c r="D11" s="397"/>
      <c r="E11" s="397"/>
      <c r="F11" s="397"/>
      <c r="G11" s="108"/>
      <c r="H11" s="400" t="s">
        <v>0</v>
      </c>
      <c r="I11" s="400"/>
      <c r="J11" s="400"/>
      <c r="K11" s="400"/>
      <c r="L11" s="400"/>
    </row>
    <row r="12" spans="1:13" ht="21" x14ac:dyDescent="0.25">
      <c r="A12" s="329" t="s">
        <v>0</v>
      </c>
      <c r="B12" s="329"/>
      <c r="C12" s="329"/>
      <c r="D12" s="329"/>
      <c r="E12" s="329"/>
      <c r="F12" s="329"/>
      <c r="J12" t="s">
        <v>70</v>
      </c>
    </row>
    <row r="13" spans="1:13" ht="18.75" x14ac:dyDescent="0.25">
      <c r="A13" s="401"/>
      <c r="B13" s="401"/>
      <c r="C13" s="402" t="s">
        <v>122</v>
      </c>
      <c r="D13" s="402"/>
      <c r="E13" s="402"/>
      <c r="F13" s="139"/>
    </row>
    <row r="14" spans="1:13" x14ac:dyDescent="0.25">
      <c r="A14" s="108" t="s">
        <v>77</v>
      </c>
      <c r="B14" s="178" t="s">
        <v>36</v>
      </c>
      <c r="C14" s="85" t="s">
        <v>55</v>
      </c>
      <c r="D14" s="108" t="s">
        <v>5</v>
      </c>
      <c r="E14" s="108" t="s">
        <v>56</v>
      </c>
      <c r="F14" s="108" t="s">
        <v>123</v>
      </c>
      <c r="H14" s="344" t="s">
        <v>36</v>
      </c>
      <c r="I14" s="346"/>
      <c r="J14" s="102" t="s">
        <v>68</v>
      </c>
      <c r="K14" s="102" t="s">
        <v>130</v>
      </c>
      <c r="L14" s="102" t="s">
        <v>56</v>
      </c>
    </row>
    <row r="15" spans="1:13" ht="27.95" customHeight="1" x14ac:dyDescent="0.25">
      <c r="A15" s="135">
        <v>1</v>
      </c>
      <c r="B15" s="200">
        <v>45327</v>
      </c>
      <c r="C15" s="187" t="s">
        <v>149</v>
      </c>
      <c r="D15" s="108" t="s">
        <v>134</v>
      </c>
      <c r="E15" s="108">
        <v>200</v>
      </c>
      <c r="F15" s="108" t="s">
        <v>162</v>
      </c>
      <c r="H15" s="398"/>
      <c r="I15" s="399"/>
      <c r="J15" s="102"/>
      <c r="K15" s="102"/>
      <c r="L15" s="102"/>
    </row>
    <row r="16" spans="1:13" x14ac:dyDescent="0.25">
      <c r="B16"/>
      <c r="C16"/>
      <c r="E16"/>
      <c r="L16" s="102"/>
    </row>
    <row r="17" spans="1:12" x14ac:dyDescent="0.25">
      <c r="A17" s="124"/>
      <c r="B17" s="186"/>
      <c r="C17" s="188"/>
      <c r="D17" s="108" t="s">
        <v>23</v>
      </c>
      <c r="E17" s="48">
        <f>SUM(E15:E15)</f>
        <v>200</v>
      </c>
      <c r="F17" s="108"/>
      <c r="K17" s="102" t="s">
        <v>23</v>
      </c>
      <c r="L17" s="102">
        <v>500</v>
      </c>
    </row>
    <row r="19" spans="1:12" x14ac:dyDescent="0.25">
      <c r="A19" s="114"/>
      <c r="B19" s="179" t="s">
        <v>127</v>
      </c>
      <c r="C19" s="189"/>
      <c r="D19" s="114"/>
      <c r="E19" s="184"/>
      <c r="F19" s="114"/>
      <c r="H19" s="137"/>
      <c r="I19" s="180"/>
      <c r="J19" s="47"/>
      <c r="L19" s="47"/>
    </row>
    <row r="20" spans="1:12" x14ac:dyDescent="0.25">
      <c r="A20" s="137" t="s">
        <v>78</v>
      </c>
      <c r="B20" s="180"/>
      <c r="C20" s="190"/>
      <c r="D20" s="47" t="s">
        <v>79</v>
      </c>
      <c r="F20" s="47" t="s">
        <v>80</v>
      </c>
      <c r="H20" s="138"/>
      <c r="I20" s="179"/>
      <c r="J20" s="114"/>
      <c r="L20" s="114"/>
    </row>
    <row r="21" spans="1:12" x14ac:dyDescent="0.25">
      <c r="A21" s="138" t="s">
        <v>30</v>
      </c>
      <c r="B21" s="179"/>
      <c r="C21" s="189"/>
      <c r="D21" s="114" t="s">
        <v>81</v>
      </c>
      <c r="F21" s="114" t="s">
        <v>82</v>
      </c>
      <c r="H21" s="137" t="s">
        <v>78</v>
      </c>
      <c r="I21" s="180"/>
      <c r="J21" s="47" t="s">
        <v>79</v>
      </c>
      <c r="L21" s="47" t="s">
        <v>80</v>
      </c>
    </row>
    <row r="22" spans="1:12" x14ac:dyDescent="0.25">
      <c r="H22" s="138" t="s">
        <v>30</v>
      </c>
      <c r="I22" s="179"/>
      <c r="J22" s="114" t="s">
        <v>81</v>
      </c>
      <c r="L22" s="114" t="s">
        <v>82</v>
      </c>
    </row>
  </sheetData>
  <mergeCells count="13">
    <mergeCell ref="A11:F11"/>
    <mergeCell ref="H15:I15"/>
    <mergeCell ref="H14:I14"/>
    <mergeCell ref="H11:L11"/>
    <mergeCell ref="A1:F1"/>
    <mergeCell ref="A2:B2"/>
    <mergeCell ref="C2:E2"/>
    <mergeCell ref="H1:M1"/>
    <mergeCell ref="H2:I2"/>
    <mergeCell ref="J2:L2"/>
    <mergeCell ref="A12:F12"/>
    <mergeCell ref="A13:B13"/>
    <mergeCell ref="C13:E13"/>
  </mergeCells>
  <pageMargins left="0.7" right="0.7" top="0.75" bottom="0.75" header="0.3" footer="0.3"/>
  <pageSetup scale="98" orientation="portrait" r:id="rId1"/>
  <colBreaks count="1" manualBreakCount="1">
    <brk id="6" max="22" man="1"/>
  </colBreak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46"/>
  <sheetViews>
    <sheetView workbookViewId="0">
      <selection activeCell="G7" sqref="G7:I7"/>
    </sheetView>
  </sheetViews>
  <sheetFormatPr defaultRowHeight="15" x14ac:dyDescent="0.25"/>
  <cols>
    <col min="1" max="1" width="8.5703125" customWidth="1"/>
    <col min="2" max="2" width="12.7109375" customWidth="1"/>
    <col min="3" max="3" width="38" customWidth="1"/>
    <col min="4" max="4" width="20" customWidth="1"/>
    <col min="7" max="7" width="13" customWidth="1"/>
    <col min="8" max="8" width="46.28515625" customWidth="1"/>
    <col min="9" max="9" width="18" customWidth="1"/>
  </cols>
  <sheetData>
    <row r="1" spans="1:9" ht="23.25" x14ac:dyDescent="0.35">
      <c r="A1" s="413" t="s">
        <v>90</v>
      </c>
      <c r="B1" s="414"/>
      <c r="C1" s="414"/>
      <c r="D1" s="415"/>
      <c r="F1" s="405" t="s">
        <v>105</v>
      </c>
      <c r="G1" s="406"/>
      <c r="H1" s="406"/>
      <c r="I1" s="407"/>
    </row>
    <row r="2" spans="1:9" ht="18.75" x14ac:dyDescent="0.3">
      <c r="A2" s="416" t="s">
        <v>91</v>
      </c>
      <c r="B2" s="409"/>
      <c r="C2" s="409"/>
      <c r="D2" s="417"/>
      <c r="F2" s="408" t="s">
        <v>91</v>
      </c>
      <c r="G2" s="409"/>
      <c r="H2" s="409"/>
      <c r="I2" s="410"/>
    </row>
    <row r="3" spans="1:9" x14ac:dyDescent="0.25">
      <c r="A3" s="142"/>
      <c r="B3" s="143"/>
      <c r="D3" s="144"/>
      <c r="F3" s="156"/>
      <c r="I3" s="106"/>
    </row>
    <row r="4" spans="1:9" x14ac:dyDescent="0.25">
      <c r="A4" s="145" t="s">
        <v>92</v>
      </c>
      <c r="B4" s="146" t="s">
        <v>36</v>
      </c>
      <c r="C4" s="145" t="s">
        <v>55</v>
      </c>
      <c r="D4" s="145" t="s">
        <v>93</v>
      </c>
      <c r="F4" s="164"/>
      <c r="G4" s="165"/>
      <c r="H4" s="165"/>
      <c r="I4" s="166"/>
    </row>
    <row r="5" spans="1:9" x14ac:dyDescent="0.25">
      <c r="A5" s="111">
        <v>1</v>
      </c>
      <c r="B5" s="147"/>
      <c r="C5" s="148"/>
      <c r="D5" s="111"/>
      <c r="F5" s="156"/>
      <c r="I5" s="106"/>
    </row>
    <row r="6" spans="1:9" x14ac:dyDescent="0.25">
      <c r="A6" s="111">
        <v>2</v>
      </c>
      <c r="B6" s="147"/>
      <c r="C6" s="148"/>
      <c r="D6" s="111"/>
      <c r="F6" s="157" t="s">
        <v>92</v>
      </c>
      <c r="G6" s="145" t="s">
        <v>36</v>
      </c>
      <c r="H6" s="145" t="s">
        <v>55</v>
      </c>
      <c r="I6" s="158" t="s">
        <v>93</v>
      </c>
    </row>
    <row r="7" spans="1:9" x14ac:dyDescent="0.25">
      <c r="A7" s="111">
        <v>3</v>
      </c>
      <c r="B7" s="147"/>
      <c r="C7" s="148"/>
      <c r="D7" s="111"/>
      <c r="F7" s="110">
        <v>1</v>
      </c>
      <c r="G7" s="147"/>
      <c r="H7" s="167"/>
      <c r="I7" s="112"/>
    </row>
    <row r="8" spans="1:9" x14ac:dyDescent="0.25">
      <c r="A8" s="111">
        <v>4</v>
      </c>
      <c r="B8" s="147"/>
      <c r="C8" s="111"/>
      <c r="D8" s="111"/>
      <c r="F8" s="110">
        <v>2</v>
      </c>
      <c r="G8" s="111"/>
      <c r="H8" s="111"/>
      <c r="I8" s="112"/>
    </row>
    <row r="9" spans="1:9" x14ac:dyDescent="0.25">
      <c r="A9" s="111">
        <v>5</v>
      </c>
      <c r="B9" s="147"/>
      <c r="C9" s="111"/>
      <c r="D9" s="111"/>
      <c r="F9" s="110">
        <v>3</v>
      </c>
      <c r="G9" s="111"/>
      <c r="H9" s="111"/>
      <c r="I9" s="112"/>
    </row>
    <row r="10" spans="1:9" x14ac:dyDescent="0.25">
      <c r="A10" s="111">
        <v>5</v>
      </c>
      <c r="B10" s="147"/>
      <c r="C10" s="111"/>
      <c r="D10" s="111"/>
      <c r="F10" s="110">
        <v>4</v>
      </c>
      <c r="G10" s="111"/>
      <c r="H10" s="111"/>
      <c r="I10" s="112"/>
    </row>
    <row r="11" spans="1:9" x14ac:dyDescent="0.25">
      <c r="A11" s="111">
        <v>6</v>
      </c>
      <c r="B11" s="147"/>
      <c r="C11" s="111"/>
      <c r="D11" s="111"/>
      <c r="F11" s="110">
        <v>5</v>
      </c>
      <c r="G11" s="111"/>
      <c r="H11" s="111"/>
      <c r="I11" s="112"/>
    </row>
    <row r="12" spans="1:9" ht="21" x14ac:dyDescent="0.25">
      <c r="A12" s="111">
        <v>7</v>
      </c>
      <c r="B12" s="147"/>
      <c r="C12" s="111"/>
      <c r="D12" s="111"/>
      <c r="F12" s="411" t="s">
        <v>23</v>
      </c>
      <c r="G12" s="412"/>
      <c r="H12" s="412"/>
      <c r="I12" s="112"/>
    </row>
    <row r="13" spans="1:9" ht="21" x14ac:dyDescent="0.25">
      <c r="A13" s="418" t="s">
        <v>23</v>
      </c>
      <c r="B13" s="412"/>
      <c r="C13" s="412"/>
      <c r="D13" s="111">
        <f>SUM(D5:D12)</f>
        <v>0</v>
      </c>
      <c r="F13" s="156"/>
      <c r="I13" s="106"/>
    </row>
    <row r="14" spans="1:9" x14ac:dyDescent="0.25">
      <c r="A14" s="142"/>
      <c r="B14" s="143"/>
      <c r="D14" s="144"/>
      <c r="F14" s="156"/>
      <c r="I14" s="106"/>
    </row>
    <row r="15" spans="1:9" x14ac:dyDescent="0.25">
      <c r="A15" s="142"/>
      <c r="B15" s="149" t="s">
        <v>94</v>
      </c>
      <c r="C15" t="s">
        <v>95</v>
      </c>
      <c r="D15" s="144"/>
      <c r="F15" s="116"/>
      <c r="I15" s="106"/>
    </row>
    <row r="16" spans="1:9" x14ac:dyDescent="0.25">
      <c r="A16" s="150" t="s">
        <v>96</v>
      </c>
      <c r="B16" s="143" t="s">
        <v>97</v>
      </c>
      <c r="D16" s="144"/>
      <c r="F16" s="156"/>
      <c r="I16" s="106"/>
    </row>
    <row r="17" spans="1:9" x14ac:dyDescent="0.25">
      <c r="A17" s="142" t="s">
        <v>98</v>
      </c>
      <c r="B17" s="151" t="s">
        <v>99</v>
      </c>
      <c r="D17" s="144"/>
      <c r="F17" s="156"/>
      <c r="I17" s="106"/>
    </row>
    <row r="18" spans="1:9" x14ac:dyDescent="0.25">
      <c r="A18" s="142"/>
      <c r="B18" s="143"/>
      <c r="D18" s="144"/>
      <c r="F18" s="116" t="s">
        <v>106</v>
      </c>
      <c r="H18" t="s">
        <v>107</v>
      </c>
      <c r="I18" s="106"/>
    </row>
    <row r="19" spans="1:9" x14ac:dyDescent="0.25">
      <c r="A19" s="142"/>
      <c r="B19" s="143"/>
      <c r="D19" s="144"/>
      <c r="F19" s="156"/>
      <c r="I19" s="106"/>
    </row>
    <row r="20" spans="1:9" x14ac:dyDescent="0.25">
      <c r="A20" s="150" t="s">
        <v>100</v>
      </c>
      <c r="B20" s="137"/>
      <c r="C20" s="47" t="s">
        <v>31</v>
      </c>
      <c r="D20" s="144"/>
      <c r="F20" s="156"/>
      <c r="I20" s="106"/>
    </row>
    <row r="21" spans="1:9" x14ac:dyDescent="0.25">
      <c r="A21" s="152"/>
      <c r="B21" s="153"/>
      <c r="C21" s="154"/>
      <c r="D21" s="155"/>
      <c r="F21" s="156"/>
      <c r="I21" s="106"/>
    </row>
    <row r="22" spans="1:9" ht="15.75" thickBot="1" x14ac:dyDescent="0.3">
      <c r="A22" s="47"/>
      <c r="B22" s="143"/>
      <c r="F22" s="116" t="s">
        <v>100</v>
      </c>
      <c r="H22" s="47" t="s">
        <v>31</v>
      </c>
      <c r="I22" s="106"/>
    </row>
    <row r="23" spans="1:9" ht="24" thickBot="1" x14ac:dyDescent="0.4">
      <c r="A23" s="405" t="s">
        <v>90</v>
      </c>
      <c r="B23" s="406"/>
      <c r="C23" s="406"/>
      <c r="D23" s="407"/>
      <c r="F23" s="162"/>
      <c r="G23" s="129"/>
      <c r="H23" s="129"/>
      <c r="I23" s="130"/>
    </row>
    <row r="24" spans="1:9" ht="18.75" x14ac:dyDescent="0.3">
      <c r="A24" s="408" t="s">
        <v>91</v>
      </c>
      <c r="B24" s="409"/>
      <c r="C24" s="409"/>
      <c r="D24" s="410"/>
    </row>
    <row r="25" spans="1:9" x14ac:dyDescent="0.25">
      <c r="A25" s="156"/>
      <c r="B25" s="143"/>
      <c r="D25" s="106"/>
    </row>
    <row r="26" spans="1:9" x14ac:dyDescent="0.25">
      <c r="A26" s="157" t="s">
        <v>92</v>
      </c>
      <c r="B26" s="146" t="s">
        <v>36</v>
      </c>
      <c r="C26" s="145" t="s">
        <v>55</v>
      </c>
      <c r="D26" s="158" t="s">
        <v>93</v>
      </c>
    </row>
    <row r="27" spans="1:9" x14ac:dyDescent="0.25">
      <c r="A27" s="110">
        <v>1</v>
      </c>
      <c r="B27" s="147">
        <v>44927</v>
      </c>
      <c r="C27" s="159" t="s">
        <v>101</v>
      </c>
      <c r="D27" s="112">
        <v>200</v>
      </c>
    </row>
    <row r="28" spans="1:9" x14ac:dyDescent="0.25">
      <c r="A28" s="110">
        <v>2</v>
      </c>
      <c r="B28" s="147"/>
      <c r="C28" s="160"/>
      <c r="D28" s="112"/>
    </row>
    <row r="29" spans="1:9" x14ac:dyDescent="0.25">
      <c r="A29" s="110">
        <v>3</v>
      </c>
      <c r="B29" s="147"/>
      <c r="C29" s="160"/>
      <c r="D29" s="112"/>
    </row>
    <row r="30" spans="1:9" x14ac:dyDescent="0.25">
      <c r="A30" s="110">
        <v>4</v>
      </c>
      <c r="B30" s="147"/>
      <c r="C30" s="160"/>
      <c r="D30" s="112"/>
    </row>
    <row r="31" spans="1:9" x14ac:dyDescent="0.25">
      <c r="A31" s="110">
        <v>5</v>
      </c>
      <c r="B31" s="147"/>
      <c r="C31" s="111"/>
      <c r="D31" s="112"/>
    </row>
    <row r="32" spans="1:9" x14ac:dyDescent="0.25">
      <c r="A32" s="110">
        <v>6</v>
      </c>
      <c r="B32" s="147"/>
      <c r="C32" s="111"/>
      <c r="D32" s="112"/>
    </row>
    <row r="33" spans="1:4" x14ac:dyDescent="0.25">
      <c r="A33" s="110">
        <v>7</v>
      </c>
      <c r="B33" s="147"/>
      <c r="C33" s="111"/>
      <c r="D33" s="112"/>
    </row>
    <row r="34" spans="1:4" ht="21" x14ac:dyDescent="0.25">
      <c r="A34" s="411" t="s">
        <v>23</v>
      </c>
      <c r="B34" s="412"/>
      <c r="C34" s="412"/>
      <c r="D34" s="112">
        <f>SUM(D27:D33)</f>
        <v>200</v>
      </c>
    </row>
    <row r="35" spans="1:4" x14ac:dyDescent="0.25">
      <c r="A35" s="156"/>
      <c r="B35" s="143"/>
      <c r="D35" s="106"/>
    </row>
    <row r="36" spans="1:4" x14ac:dyDescent="0.25">
      <c r="A36" s="403"/>
      <c r="B36" s="332"/>
      <c r="C36" s="332"/>
      <c r="D36" s="404"/>
    </row>
    <row r="37" spans="1:4" x14ac:dyDescent="0.25">
      <c r="A37" s="116"/>
      <c r="B37" s="161"/>
      <c r="C37" s="151"/>
      <c r="D37" s="106"/>
    </row>
    <row r="38" spans="1:4" x14ac:dyDescent="0.25">
      <c r="A38" s="156" t="s">
        <v>102</v>
      </c>
      <c r="B38" s="143" t="s">
        <v>103</v>
      </c>
      <c r="D38" s="106"/>
    </row>
    <row r="39" spans="1:4" x14ac:dyDescent="0.25">
      <c r="A39" s="116" t="s">
        <v>98</v>
      </c>
      <c r="B39" s="143" t="s">
        <v>104</v>
      </c>
      <c r="D39" s="106"/>
    </row>
    <row r="40" spans="1:4" x14ac:dyDescent="0.25">
      <c r="A40" s="156"/>
      <c r="B40" s="143"/>
      <c r="D40" s="106"/>
    </row>
    <row r="41" spans="1:4" x14ac:dyDescent="0.25">
      <c r="A41" s="156"/>
      <c r="B41" s="143"/>
      <c r="D41" s="106"/>
    </row>
    <row r="42" spans="1:4" x14ac:dyDescent="0.25">
      <c r="A42" s="156"/>
      <c r="B42" s="143"/>
      <c r="D42" s="106"/>
    </row>
    <row r="43" spans="1:4" x14ac:dyDescent="0.25">
      <c r="A43" s="156"/>
      <c r="B43" s="143"/>
      <c r="D43" s="106"/>
    </row>
    <row r="44" spans="1:4" x14ac:dyDescent="0.25">
      <c r="A44" s="156"/>
      <c r="B44" s="143"/>
      <c r="D44" s="106"/>
    </row>
    <row r="45" spans="1:4" x14ac:dyDescent="0.25">
      <c r="A45" s="116" t="s">
        <v>100</v>
      </c>
      <c r="B45" s="143"/>
      <c r="C45" s="47" t="s">
        <v>31</v>
      </c>
      <c r="D45" s="106"/>
    </row>
    <row r="46" spans="1:4" ht="15.75" thickBot="1" x14ac:dyDescent="0.3">
      <c r="A46" s="162"/>
      <c r="B46" s="163"/>
      <c r="C46" s="129"/>
      <c r="D46" s="130"/>
    </row>
  </sheetData>
  <mergeCells count="10">
    <mergeCell ref="A36:D36"/>
    <mergeCell ref="F1:I1"/>
    <mergeCell ref="F2:I2"/>
    <mergeCell ref="F12:H12"/>
    <mergeCell ref="A1:D1"/>
    <mergeCell ref="A2:D2"/>
    <mergeCell ref="A13:C13"/>
    <mergeCell ref="A23:D23"/>
    <mergeCell ref="A24:D24"/>
    <mergeCell ref="A34:C34"/>
  </mergeCells>
  <dataValidations count="2">
    <dataValidation type="list" allowBlank="1" showInputMessage="1" showErrorMessage="1" sqref="C11:C12 C8:C9 C32:C33 H10:H11 H8" xr:uid="{00000000-0002-0000-1400-000000000000}">
      <formula1>"Warehouse Cleaning,Washroom Cleaning"</formula1>
    </dataValidation>
    <dataValidation type="list" allowBlank="1" showInputMessage="1" showErrorMessage="1" sqref="C10 C31 H9" xr:uid="{00000000-0002-0000-1400-000001000000}">
      <formula1>"Warehouse Cleaning,Washroom Cleaning,Water Tank Cleaning"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M22"/>
  <sheetViews>
    <sheetView workbookViewId="0">
      <selection activeCell="E14" sqref="E14"/>
    </sheetView>
  </sheetViews>
  <sheetFormatPr defaultRowHeight="15" x14ac:dyDescent="0.25"/>
  <cols>
    <col min="1" max="1" width="7.85546875" customWidth="1"/>
    <col min="3" max="3" width="34" customWidth="1"/>
    <col min="4" max="4" width="14.28515625" customWidth="1"/>
    <col min="5" max="5" width="23.28515625" customWidth="1"/>
    <col min="6" max="6" width="15.140625" customWidth="1"/>
    <col min="9" max="9" width="11.28515625" customWidth="1"/>
    <col min="10" max="10" width="30.7109375" customWidth="1"/>
    <col min="12" max="12" width="15.5703125" customWidth="1"/>
    <col min="13" max="13" width="15.7109375" customWidth="1"/>
  </cols>
  <sheetData>
    <row r="1" spans="1:13" ht="23.25" x14ac:dyDescent="0.35">
      <c r="A1" s="405" t="s">
        <v>108</v>
      </c>
      <c r="B1" s="406"/>
      <c r="C1" s="406"/>
      <c r="D1" s="406"/>
      <c r="E1" s="406"/>
      <c r="F1" s="407"/>
      <c r="H1" s="405" t="s">
        <v>112</v>
      </c>
      <c r="I1" s="406"/>
      <c r="J1" s="406"/>
      <c r="K1" s="406"/>
      <c r="L1" s="406"/>
      <c r="M1" s="407"/>
    </row>
    <row r="2" spans="1:13" ht="18.75" x14ac:dyDescent="0.3">
      <c r="A2" s="408" t="s">
        <v>91</v>
      </c>
      <c r="B2" s="409"/>
      <c r="C2" s="409"/>
      <c r="D2" s="409"/>
      <c r="E2" s="409"/>
      <c r="F2" s="410"/>
      <c r="H2" s="408" t="s">
        <v>91</v>
      </c>
      <c r="I2" s="409"/>
      <c r="J2" s="409"/>
      <c r="K2" s="409"/>
      <c r="L2" s="409"/>
      <c r="M2" s="410"/>
    </row>
    <row r="3" spans="1:13" x14ac:dyDescent="0.25">
      <c r="A3" s="156"/>
      <c r="B3" s="143"/>
      <c r="F3" s="106"/>
      <c r="H3" s="105"/>
      <c r="M3" s="106"/>
    </row>
    <row r="4" spans="1:13" x14ac:dyDescent="0.25">
      <c r="A4" s="164"/>
      <c r="B4" s="173"/>
      <c r="C4" s="165"/>
      <c r="D4" s="165"/>
      <c r="E4" s="165"/>
      <c r="F4" s="166"/>
      <c r="H4" s="157" t="s">
        <v>92</v>
      </c>
      <c r="I4" s="146" t="s">
        <v>36</v>
      </c>
      <c r="J4" s="145" t="s">
        <v>109</v>
      </c>
      <c r="K4" s="145" t="s">
        <v>110</v>
      </c>
      <c r="L4" s="168" t="s">
        <v>55</v>
      </c>
      <c r="M4" s="158" t="s">
        <v>93</v>
      </c>
    </row>
    <row r="5" spans="1:13" x14ac:dyDescent="0.25">
      <c r="A5" s="156"/>
      <c r="B5" s="143"/>
      <c r="F5" s="106"/>
      <c r="H5" s="110">
        <v>1</v>
      </c>
      <c r="I5" s="147"/>
      <c r="J5" s="111"/>
      <c r="K5" s="111"/>
      <c r="L5" s="136"/>
      <c r="M5" s="112"/>
    </row>
    <row r="6" spans="1:13" x14ac:dyDescent="0.25">
      <c r="A6" s="157" t="s">
        <v>92</v>
      </c>
      <c r="B6" s="146" t="s">
        <v>36</v>
      </c>
      <c r="C6" s="145" t="s">
        <v>109</v>
      </c>
      <c r="D6" s="145" t="s">
        <v>110</v>
      </c>
      <c r="E6" s="168" t="s">
        <v>55</v>
      </c>
      <c r="F6" s="158" t="s">
        <v>93</v>
      </c>
      <c r="H6" s="110">
        <v>2</v>
      </c>
      <c r="I6" s="147"/>
      <c r="J6" s="111"/>
      <c r="K6" s="111"/>
      <c r="L6" s="136"/>
      <c r="M6" s="112"/>
    </row>
    <row r="7" spans="1:13" ht="21" x14ac:dyDescent="0.25">
      <c r="A7" s="110">
        <v>1</v>
      </c>
      <c r="B7" s="147"/>
      <c r="C7" s="111"/>
      <c r="D7" s="111"/>
      <c r="E7" s="169"/>
      <c r="F7" s="112"/>
      <c r="H7" s="411" t="s">
        <v>23</v>
      </c>
      <c r="I7" s="412"/>
      <c r="J7" s="412"/>
      <c r="K7" s="412"/>
      <c r="L7" s="419"/>
      <c r="M7" s="112"/>
    </row>
    <row r="8" spans="1:13" x14ac:dyDescent="0.25">
      <c r="A8" s="110">
        <v>2</v>
      </c>
      <c r="B8" s="147"/>
      <c r="C8" s="111"/>
      <c r="D8" s="111"/>
      <c r="E8" s="136"/>
      <c r="F8" s="112"/>
      <c r="H8" s="105"/>
      <c r="M8" s="106"/>
    </row>
    <row r="9" spans="1:13" ht="21" x14ac:dyDescent="0.25">
      <c r="A9" s="411" t="s">
        <v>23</v>
      </c>
      <c r="B9" s="412"/>
      <c r="C9" s="412"/>
      <c r="D9" s="412"/>
      <c r="E9" s="419"/>
      <c r="F9" s="112"/>
      <c r="H9" s="105"/>
      <c r="M9" s="106"/>
    </row>
    <row r="10" spans="1:13" x14ac:dyDescent="0.25">
      <c r="A10" s="156"/>
      <c r="B10" s="143"/>
      <c r="F10" s="106"/>
      <c r="H10" s="105"/>
      <c r="M10" s="106"/>
    </row>
    <row r="11" spans="1:13" x14ac:dyDescent="0.25">
      <c r="A11" s="116"/>
      <c r="B11" s="143"/>
      <c r="F11" s="106"/>
      <c r="H11" s="156"/>
      <c r="I11" s="143"/>
      <c r="M11" s="106"/>
    </row>
    <row r="12" spans="1:13" x14ac:dyDescent="0.25">
      <c r="A12" s="156"/>
      <c r="B12" s="143"/>
      <c r="F12" s="106"/>
      <c r="H12" s="156"/>
      <c r="I12" s="143"/>
      <c r="M12" s="106"/>
    </row>
    <row r="13" spans="1:13" x14ac:dyDescent="0.25">
      <c r="A13" s="156"/>
      <c r="B13" s="143"/>
      <c r="F13" s="106"/>
      <c r="H13" s="156"/>
      <c r="I13" s="143"/>
      <c r="M13" s="106"/>
    </row>
    <row r="14" spans="1:13" x14ac:dyDescent="0.25">
      <c r="A14" s="156"/>
      <c r="B14" s="170" t="s">
        <v>111</v>
      </c>
      <c r="C14" s="47"/>
      <c r="D14" s="171" t="s">
        <v>100</v>
      </c>
      <c r="E14" s="47"/>
      <c r="F14" s="172" t="s">
        <v>31</v>
      </c>
      <c r="H14" s="174" t="s">
        <v>111</v>
      </c>
      <c r="I14" s="47"/>
      <c r="J14" s="171" t="s">
        <v>100</v>
      </c>
      <c r="K14" s="47"/>
      <c r="M14" s="172" t="s">
        <v>31</v>
      </c>
    </row>
    <row r="15" spans="1:13" ht="15.75" thickBot="1" x14ac:dyDescent="0.3">
      <c r="A15" s="162"/>
      <c r="B15" s="163"/>
      <c r="C15" s="129"/>
      <c r="D15" s="129"/>
      <c r="E15" s="129"/>
      <c r="F15" s="130"/>
      <c r="H15" s="162"/>
      <c r="I15" s="163"/>
      <c r="J15" s="129"/>
      <c r="K15" s="129"/>
      <c r="L15" s="129"/>
      <c r="M15" s="130"/>
    </row>
    <row r="16" spans="1:13" x14ac:dyDescent="0.25">
      <c r="A16" s="156"/>
      <c r="B16" s="143"/>
      <c r="H16" s="47"/>
      <c r="I16" s="143"/>
    </row>
    <row r="17" spans="8:12" x14ac:dyDescent="0.25">
      <c r="H17" s="137"/>
      <c r="I17" s="143"/>
    </row>
    <row r="18" spans="8:12" x14ac:dyDescent="0.25">
      <c r="H18" s="47"/>
      <c r="I18" s="143"/>
    </row>
    <row r="19" spans="8:12" x14ac:dyDescent="0.25">
      <c r="H19" s="47"/>
      <c r="I19" s="143"/>
    </row>
    <row r="20" spans="8:12" x14ac:dyDescent="0.25">
      <c r="H20" s="47"/>
      <c r="I20" s="143"/>
    </row>
    <row r="21" spans="8:12" x14ac:dyDescent="0.25">
      <c r="H21" s="137"/>
      <c r="I21" s="143"/>
      <c r="K21" s="47"/>
      <c r="L21" s="47"/>
    </row>
    <row r="22" spans="8:12" x14ac:dyDescent="0.25">
      <c r="H22" s="47"/>
      <c r="I22" s="143"/>
    </row>
  </sheetData>
  <mergeCells count="6">
    <mergeCell ref="A9:E9"/>
    <mergeCell ref="H2:M2"/>
    <mergeCell ref="H7:L7"/>
    <mergeCell ref="H1:M1"/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8</vt:i4>
      </vt:variant>
    </vt:vector>
  </HeadingPairs>
  <TitlesOfParts>
    <vt:vector size="30" baseType="lpstr">
      <vt:lpstr>Front Page</vt:lpstr>
      <vt:lpstr>1. B2B- IPP</vt:lpstr>
      <vt:lpstr>2. B2C</vt:lpstr>
      <vt:lpstr>Goods Delivery Voucher</vt:lpstr>
      <vt:lpstr>Conveyance Voucher</vt:lpstr>
      <vt:lpstr>4. Goods Sending Expense</vt:lpstr>
      <vt:lpstr>3. B2B-Non Power</vt:lpstr>
      <vt:lpstr>5. Goods Receiving Expense</vt:lpstr>
      <vt:lpstr>6.WH-Depot Maintenance</vt:lpstr>
      <vt:lpstr>7. Utilities</vt:lpstr>
      <vt:lpstr>8. Printing</vt:lpstr>
      <vt:lpstr>9. Stationary</vt:lpstr>
      <vt:lpstr>10-11.Delivery Van Expense</vt:lpstr>
      <vt:lpstr>12. Entertainment</vt:lpstr>
      <vt:lpstr>13. Food Allowance</vt:lpstr>
      <vt:lpstr>14. Conveyance</vt:lpstr>
      <vt:lpstr>15. For Security</vt:lpstr>
      <vt:lpstr>Monthly Volume</vt:lpstr>
      <vt:lpstr>Purchase Voucher</vt:lpstr>
      <vt:lpstr>Labour Bill Voucher</vt:lpstr>
      <vt:lpstr>Others &amp; Cleaning</vt:lpstr>
      <vt:lpstr>Food Bill</vt:lpstr>
      <vt:lpstr>'1. B2B- IPP'!Print_Area</vt:lpstr>
      <vt:lpstr>'Front Page'!Print_Area</vt:lpstr>
      <vt:lpstr>'1. B2B- IPP'!Print_Titles</vt:lpstr>
      <vt:lpstr>'2. B2C'!Print_Titles</vt:lpstr>
      <vt:lpstr>'3. B2B-Non Power'!Print_Titles</vt:lpstr>
      <vt:lpstr>'4. Goods Sending Expense'!Print_Titles</vt:lpstr>
      <vt:lpstr>'5. Goods Receiving Expense'!Print_Titles</vt:lpstr>
      <vt:lpstr>'6.WH-Depot Maintenance'!Print_Titles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Arobindo Sarker</dc:creator>
  <cp:lastModifiedBy>sohel</cp:lastModifiedBy>
  <cp:lastPrinted>2025-10-13T05:41:47Z</cp:lastPrinted>
  <dcterms:created xsi:type="dcterms:W3CDTF">2023-01-08T05:51:58Z</dcterms:created>
  <dcterms:modified xsi:type="dcterms:W3CDTF">2025-10-13T06:04:10Z</dcterms:modified>
</cp:coreProperties>
</file>